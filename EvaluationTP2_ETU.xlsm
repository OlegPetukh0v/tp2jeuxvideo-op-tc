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C:\Dev\Ecole\Prog_Jeux_Video_1\TP02\"/>
    </mc:Choice>
  </mc:AlternateContent>
  <xr:revisionPtr revIDLastSave="0" documentId="13_ncr:1_{CCED790E-331E-4F04-BC49-D50FD9C21A06}" xr6:coauthVersionLast="47" xr6:coauthVersionMax="47" xr10:uidLastSave="{00000000-0000-0000-0000-000000000000}"/>
  <bookViews>
    <workbookView xWindow="-108" yWindow="-108" windowWidth="23256" windowHeight="12576" tabRatio="913" xr2:uid="{00000000-000D-0000-FFFF-FFFF00000000}"/>
  </bookViews>
  <sheets>
    <sheet name="Modèle" sheetId="12" r:id="rId1"/>
  </sheets>
  <definedNames>
    <definedName name="__CIC1" localSheetId="0">Modèle!#REF!</definedName>
    <definedName name="__CIC1">#REF!</definedName>
    <definedName name="__SP1" localSheetId="0">Modèle!#REF!</definedName>
    <definedName name="__SP1">#REF!</definedName>
    <definedName name="__VCN1" localSheetId="0">Modèle!#REF!</definedName>
    <definedName name="__VCN1">#REF!</definedName>
    <definedName name="__VCN2" localSheetId="0">Modèle!#REF!</definedName>
    <definedName name="__VCN2">#REF!</definedName>
    <definedName name="_ARCH" localSheetId="0">Modèle!#REF!</definedName>
    <definedName name="_ARCH">#REF!</definedName>
    <definedName name="_CC" localSheetId="0">Modèle!#REF!</definedName>
    <definedName name="_CC">#REF!</definedName>
    <definedName name="_CIC" localSheetId="0">Modèle!#REF!</definedName>
    <definedName name="_CIC">#REF!</definedName>
    <definedName name="_CIC1" localSheetId="0">Modèle!#REF!</definedName>
    <definedName name="_CIC1">#REF!</definedName>
    <definedName name="_CIC2" localSheetId="0">Modèle!#REF!</definedName>
    <definedName name="_CIC2">#REF!</definedName>
    <definedName name="_CONST" localSheetId="0">Modèle!#REF!</definedName>
    <definedName name="_CONST">#REF!</definedName>
    <definedName name="_DUP" localSheetId="0">Modèle!#REF!</definedName>
    <definedName name="_DUP">#REF!</definedName>
    <definedName name="_FCN" localSheetId="0">Modèle!#REF!</definedName>
    <definedName name="_FCN">#REF!</definedName>
    <definedName name="_MC1" localSheetId="0">Modèle!#REF!</definedName>
    <definedName name="_MC1">#REF!</definedName>
    <definedName name="_MC2" localSheetId="0">Modèle!#REF!</definedName>
    <definedName name="_MC2">#REF!</definedName>
    <definedName name="_MC3" localSheetId="0">Modèle!#REF!</definedName>
    <definedName name="_MC3">#REF!</definedName>
    <definedName name="_REF" localSheetId="0">Modèle!#REF!</definedName>
    <definedName name="_REF">#REF!</definedName>
    <definedName name="_SP" localSheetId="0">Modèle!#REF!</definedName>
    <definedName name="_SP">#REF!</definedName>
    <definedName name="_SP1" localSheetId="0">Modèle!#REF!</definedName>
    <definedName name="_SP1">#REF!</definedName>
    <definedName name="_SP2" localSheetId="0">Modèle!#REF!</definedName>
    <definedName name="_SP2">#REF!</definedName>
    <definedName name="_SP3" localSheetId="0">Modèle!#REF!</definedName>
    <definedName name="_SP3">#REF!</definedName>
    <definedName name="_TDA" localSheetId="0">Modèle!#REF!</definedName>
    <definedName name="_TDA">#REF!</definedName>
    <definedName name="_VCN" localSheetId="0">Modèle!#REF!</definedName>
    <definedName name="_VCN">#REF!</definedName>
    <definedName name="_VCN1" localSheetId="0">Modèle!#REF!</definedName>
    <definedName name="_VCN1">#REF!</definedName>
    <definedName name="_VCN2" localSheetId="0">Modèle!#REF!</definedName>
    <definedName name="_VCN2">#REF!</definedName>
    <definedName name="FCT" localSheetId="0">Modèle!#REF!</definedName>
    <definedName name="FCT">#REF!</definedName>
    <definedName name="Print_Area" localSheetId="0">Modèle!$A$1:$M$151</definedName>
    <definedName name="total" localSheetId="0">Modèle!$M$151</definedName>
    <definedName name="total">#REF!</definedName>
    <definedName name="_xlnm.Print_Area" localSheetId="0">Modèle!$A$1:$M$151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50" i="12" l="1"/>
  <c r="M149" i="12"/>
  <c r="M146" i="12"/>
  <c r="M145" i="12"/>
  <c r="M144" i="12"/>
  <c r="M143" i="12"/>
  <c r="A142" i="12"/>
  <c r="M131" i="12"/>
  <c r="A129" i="12"/>
  <c r="M118" i="12"/>
  <c r="A116" i="12"/>
  <c r="M105" i="12"/>
  <c r="A103" i="12"/>
  <c r="M91" i="12"/>
  <c r="A89" i="12"/>
  <c r="M77" i="12"/>
  <c r="A75" i="12"/>
  <c r="M60" i="12"/>
  <c r="A58" i="12"/>
  <c r="M52" i="12"/>
  <c r="M51" i="12"/>
  <c r="M50" i="12"/>
  <c r="M40" i="12"/>
  <c r="A38" i="12"/>
  <c r="M28" i="12"/>
  <c r="A26" i="12"/>
  <c r="M19" i="12"/>
  <c r="M8" i="12"/>
  <c r="A6" i="12"/>
  <c r="M151" i="12" l="1"/>
</calcChain>
</file>

<file path=xl/sharedStrings.xml><?xml version="1.0" encoding="utf-8"?>
<sst xmlns="http://schemas.openxmlformats.org/spreadsheetml/2006/main" count="141" uniqueCount="90">
  <si>
    <t>Grille d'évaluation</t>
  </si>
  <si>
    <t>Notes partielles</t>
  </si>
  <si>
    <t>Pondérations</t>
  </si>
  <si>
    <t>Notes pondérée</t>
  </si>
  <si>
    <t>Commentaires généraux</t>
  </si>
  <si>
    <t>Qualité du code</t>
  </si>
  <si>
    <t>Pénalité si retard:</t>
  </si>
  <si>
    <t>Qualité du français</t>
  </si>
  <si>
    <t>Nb fautes:</t>
  </si>
  <si>
    <t>Total:</t>
  </si>
  <si>
    <t>NON</t>
  </si>
  <si>
    <t>Autre(s) : voir commentaires ci-après</t>
  </si>
  <si>
    <t>Le code des instructions est clair. En particulier, les structures de contrôle adéquates ont été utilisées selon les standards. (CIC)</t>
  </si>
  <si>
    <t xml:space="preserve">L'archive n'a pas été remis dans le format .zip </t>
  </si>
  <si>
    <t>Le projet remis ne compile pas ou n'est pas fonctionnel</t>
  </si>
  <si>
    <t>Les types de données utilisés sont adéquats. En particulier, des constantes ont été utilisées chaque fois que cela était adéquat et pertinent. (TDA)</t>
  </si>
  <si>
    <r>
      <t>Les standards de programmation du cours ont été suivis notamment le respect du principe "</t>
    </r>
    <r>
      <rPr>
        <i/>
        <sz val="11"/>
        <color theme="1"/>
        <rFont val="Calibri"/>
        <family val="2"/>
        <scheme val="minor"/>
      </rPr>
      <t>DRY</t>
    </r>
    <r>
      <rPr>
        <sz val="11"/>
        <color theme="1"/>
        <rFont val="Calibri"/>
        <family val="2"/>
        <scheme val="minor"/>
      </rPr>
      <t>". (SP)</t>
    </r>
  </si>
  <si>
    <t>D'autres fichiers autre que ceux demandés  ont été remis dans l'archive</t>
  </si>
  <si>
    <t>Les variables (VCN) et méthodes (FCN) sont correctement nommées et leurs noms sont représentatifs de leurs contenus ou rôles.</t>
  </si>
  <si>
    <t>Les appels de méthodes existantes ont été faits chaque fois que cela était pertinent</t>
  </si>
  <si>
    <t>420-W42-SF Programmation de jeux vidéo 1</t>
  </si>
  <si>
    <t>Pondération: 30%</t>
  </si>
  <si>
    <t>Fonctionnalités</t>
  </si>
  <si>
    <t>Les ennemis apparaissent à un rythme assez constant</t>
  </si>
  <si>
    <t>Le personnage principal dispose d'un nombre infini de projectiles</t>
  </si>
  <si>
    <t>Les projectiles qui sortent de la surface de jeu sont désactivés</t>
  </si>
  <si>
    <t>Le modificateur const a été utilisé chaque fois que cela était nécessaire et opportun</t>
  </si>
  <si>
    <t>Les instances de classes sont passées et retournées par références</t>
  </si>
  <si>
    <t>Le projet génère des avertissements lors de la compilation</t>
  </si>
  <si>
    <t>Un bonus apparaît aléatoirement lorsqu'un ennemi meurt.</t>
  </si>
  <si>
    <t>Le personnage principal peut récupérer ce bonus</t>
  </si>
  <si>
    <t>Un bonus récupéré est désactivé et retourne dans le pool de bonus</t>
  </si>
  <si>
    <t>Un découpage et une architecture appropriés ont été utilisé</t>
  </si>
  <si>
    <t>Travail pratique #2</t>
  </si>
  <si>
    <t>Recyclage de la mémoire</t>
  </si>
  <si>
    <t>Un pool d'objets a été utilisé pour limiter la création d'ennemis de type 1</t>
  </si>
  <si>
    <t>Un pool d'objets a été utilisé pour limiter la création de projectiles</t>
  </si>
  <si>
    <t>Un pool d'objets a été utilisé pour limiter la création de bonus</t>
  </si>
  <si>
    <t>Le menu comporte une image en arrière-plan. Cette image est pertinente et bien positionnée.</t>
  </si>
  <si>
    <t>Le menu propose des consignes claires au joueur.</t>
  </si>
  <si>
    <t>Une musique joue pendant l'affichage du menu</t>
  </si>
  <si>
    <t>Le joueur peut démarrer le jeu en appuyant sur n'importe quelle touche du clavier (sauf Escape) ou sur n'importe quel bouton du joystick</t>
  </si>
  <si>
    <t>Le joueur peut quitter le jeu en appuyant sur Escape</t>
  </si>
  <si>
    <t>Le jeu propose un arrière-plan qui défile verticalement</t>
  </si>
  <si>
    <t>Une musique joue pendant le jeu</t>
  </si>
  <si>
    <t>Une zone est réservée au bas de l'écran pour l'affichage du pointage, des points de vie et du nombre de secondes restant en état "bonus arme".  Une attention particulière est placée pour l'aspect esthétique de l'affichage.</t>
  </si>
  <si>
    <t>Le jeu se termine quand le boss est détruit.</t>
  </si>
  <si>
    <t>Le jeu se termine quand le joueur n'a plus de points de vie</t>
  </si>
  <si>
    <t>Le joueur se déplace correctement dans l'environnement . En particulier, il ne peut sortir de l'écran et ne peut pas aller dans la section HUD au bas de l'écran.</t>
  </si>
  <si>
    <t>Le joueur peut être contrôlé à l'aide du joystick</t>
  </si>
  <si>
    <t>Le joueur peut être contrôlé à l'aide du clavier</t>
  </si>
  <si>
    <t>Le joueur est animé</t>
  </si>
  <si>
    <t>Le joueur peut lancer des projectiles</t>
  </si>
  <si>
    <t>Les ennemis défile de haut en bas</t>
  </si>
  <si>
    <t>Les ennemis qui ne sont pas détruits réapparaissent progressivement en haut de l'écran</t>
  </si>
  <si>
    <t>Les ennemis tirent des projectiles lorsque leurs canons sont ouverts</t>
  </si>
  <si>
    <t>Les ennemis sont animés</t>
  </si>
  <si>
    <t>Le joueur est invincible pendant un moment lorsqu'il reçoit un projectile ou entre en contact avec un ennemi.  Une rétroaction visuelle est alors présente.</t>
  </si>
  <si>
    <t>Un son est joué lorsqu'un projectile du joueur est lancé</t>
  </si>
  <si>
    <t>Un son est joué lorsqu'un projectile de l'ennemi est lancé</t>
  </si>
  <si>
    <t>Il y a toujours un nombre minimal d'ennemis présents dans le jeu (sauf quand la limite est atteinte)</t>
  </si>
  <si>
    <t>L'ennemi de type 2 apparaît après que tous les ennemis de type 1 aient été détruits</t>
  </si>
  <si>
    <t>L'ennemi apparaît progressivement en haut de l'écran</t>
  </si>
  <si>
    <t>L'ennemi est animé</t>
  </si>
  <si>
    <t>L'ennemi tire des projectiles lorsque ses bras sont ouverts</t>
  </si>
  <si>
    <t>Un ennemi est détruit après avoir reçu quelques projectiles du joueur</t>
  </si>
  <si>
    <t>L'ennemi peut être détruit après plusieurs tirs du héros</t>
  </si>
  <si>
    <t>Une barre de progression indique le niveau de vie de l'ennemi</t>
  </si>
  <si>
    <t>Un contact avec le joueur ne détruit pas l'ennemi</t>
  </si>
  <si>
    <t>Le joueur perd des points de vie s'il entre en contact avec un projecile ennemi</t>
  </si>
  <si>
    <t>Le joueur meurt s'il entre en contact avec un ennemi de type 2</t>
  </si>
  <si>
    <t>Le joueur perd des points de vie s'il entre en contact avec un ennemi de type 1</t>
  </si>
  <si>
    <t>L'ennemi tente de s'aligner avec le joueur (déplacement gauche-droite)</t>
  </si>
  <si>
    <t>Les projectiles qui atteignent un ennemi sont retournés dans le pool de projectiles</t>
  </si>
  <si>
    <t>Les ennemis peuvent lancer des projectiles</t>
  </si>
  <si>
    <t>Les projectiles sont correctement positionnés au lancement.</t>
  </si>
  <si>
    <t>Le bonus apparaît à l'endroit où un ennemi est détruit</t>
  </si>
  <si>
    <t>Le joueur en état de bonus arme perd son bonus mais ne perd pas de point de vie s'il est atteint par un projectile</t>
  </si>
  <si>
    <t>Il y a un bonus de type vie. Son effet sur le joueur est correct</t>
  </si>
  <si>
    <t>Il y a un bonus de type arme. Son effet sur le joueur est correct</t>
  </si>
  <si>
    <t>Un son est joué lorsqu'un bonus de vie est récupéré. Des points sont ajoutés au pointage du joueur</t>
  </si>
  <si>
    <t>Un son est joué lorsqu'un bonus d'arme est récupéré. Des points sont ajoutés au pointage du joueur</t>
  </si>
  <si>
    <t>Un son est joué lorsqu'un ennemi est détruit. Des points sont ajoutés au pointage du joueur</t>
  </si>
  <si>
    <t>Le patron de conception Publisher-Subscriber est bien utilisé</t>
  </si>
  <si>
    <t>La scène apparaît après une partie</t>
  </si>
  <si>
    <t>Le fichier de sérialisation est bien lu</t>
  </si>
  <si>
    <t>Le fichier de sérialisation est bien écrit à la fin</t>
  </si>
  <si>
    <t>Si le pointage réalisé lors de la dernière partie est dans les 5 meilleurs, le joueur peut saisir les informations:</t>
  </si>
  <si>
    <t>- Nom (3 lettres obligatoires, confirmation avec Entrée, couleur différente pour les lettres)</t>
  </si>
  <si>
    <t>Le joueur peut seulement quitter la scène lorsque le nom a été entré correctement. Il peut le faire en appuyant sur Escape ou sur B sur le joystick.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</si>
</sst>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x14ac:knownFonts="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i/>
      <u/>
      <sz val="11"/>
      <color theme="1"/>
      <name val="Calibri"/>
      <family val="2"/>
      <scheme val="minor"/>
    </font>
    <font>
      <i/>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style="medium">
        <color indexed="64"/>
      </top>
      <bottom/>
      <diagonal/>
    </border>
  </borders>
  <cellStyleXfs count="2">
    <xf numFmtId="0" fontId="0" fillId="0" borderId="0"/>
    <xf numFmtId="9" fontId="1" fillId="0" borderId="0" applyFont="0" applyFill="0" applyBorder="0" applyAlignment="0" applyProtection="0"/>
  </cellStyleXfs>
  <cellXfs count="74">
    <xf numFmtId="0" fontId="0" fillId="0" borderId="0" xfId="0"/>
    <xf numFmtId="0" fontId="0" fillId="0" borderId="0" xfId="0" applyAlignment="1">
      <alignment horizontal="center" vertical="center" wrapText="1"/>
    </xf>
    <xf numFmtId="0" fontId="0" fillId="2" borderId="11" xfId="0" applyFill="1" applyBorder="1"/>
    <xf numFmtId="0" fontId="2" fillId="2" borderId="10"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4" xfId="0" applyBorder="1"/>
    <xf numFmtId="0" fontId="0" fillId="0" borderId="0" xfId="0" applyBorder="1" applyAlignment="1">
      <alignment horizontal="center" vertical="center" wrapText="1"/>
    </xf>
    <xf numFmtId="0" fontId="4" fillId="0" borderId="0" xfId="0" applyFont="1" applyBorder="1"/>
    <xf numFmtId="9" fontId="0" fillId="0" borderId="17" xfId="1" applyFont="1" applyBorder="1" applyAlignment="1">
      <alignment horizontal="center" vertical="center" wrapText="1"/>
    </xf>
    <xf numFmtId="0" fontId="0" fillId="0" borderId="4" xfId="0" applyBorder="1" applyAlignment="1">
      <alignment horizontal="justify" vertical="center" wrapText="1"/>
    </xf>
    <xf numFmtId="0" fontId="0" fillId="0" borderId="6" xfId="0" applyBorder="1"/>
    <xf numFmtId="0" fontId="0" fillId="0" borderId="7" xfId="0" applyBorder="1" applyAlignment="1">
      <alignment wrapText="1"/>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2" fillId="0" borderId="4" xfId="0" applyFont="1" applyBorder="1"/>
    <xf numFmtId="0" fontId="0" fillId="0" borderId="0" xfId="0" applyAlignment="1">
      <alignment wrapText="1"/>
    </xf>
    <xf numFmtId="0" fontId="0" fillId="2" borderId="10" xfId="0" applyFill="1" applyBorder="1" applyAlignment="1">
      <alignment wrapText="1"/>
    </xf>
    <xf numFmtId="0" fontId="2" fillId="2" borderId="9"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0" fillId="0" borderId="1" xfId="0" applyBorder="1" applyAlignment="1">
      <alignment horizontal="right" vertical="center" wrapText="1"/>
    </xf>
    <xf numFmtId="9" fontId="0" fillId="0" borderId="3" xfId="1" applyFont="1" applyBorder="1" applyAlignment="1">
      <alignment horizontal="center" vertical="center" wrapText="1"/>
    </xf>
    <xf numFmtId="0" fontId="0" fillId="0" borderId="4" xfId="0" applyBorder="1" applyAlignment="1">
      <alignment horizontal="right" vertical="center" wrapText="1"/>
    </xf>
    <xf numFmtId="0" fontId="0" fillId="0" borderId="6" xfId="0" applyBorder="1" applyAlignment="1">
      <alignment horizontal="right"/>
    </xf>
    <xf numFmtId="0" fontId="0" fillId="0" borderId="6" xfId="0" applyBorder="1" applyAlignment="1">
      <alignment horizontal="right" vertical="center" wrapText="1"/>
    </xf>
    <xf numFmtId="0" fontId="0" fillId="0" borderId="7" xfId="0" applyBorder="1" applyAlignment="1">
      <alignment horizontal="right" vertical="center" wrapText="1"/>
    </xf>
    <xf numFmtId="164" fontId="2" fillId="0" borderId="8" xfId="1" applyNumberFormat="1" applyFont="1" applyBorder="1" applyAlignment="1">
      <alignment horizontal="center" vertical="center" wrapText="1"/>
    </xf>
    <xf numFmtId="164" fontId="0" fillId="0" borderId="5" xfId="1" applyNumberFormat="1" applyFont="1" applyBorder="1" applyAlignment="1">
      <alignment horizontal="center" vertical="center" wrapText="1"/>
    </xf>
    <xf numFmtId="0" fontId="4" fillId="0" borderId="0" xfId="0" applyFont="1" applyBorder="1" applyAlignment="1">
      <alignment horizontal="left" vertical="center" wrapText="1"/>
    </xf>
    <xf numFmtId="0" fontId="0" fillId="0" borderId="4" xfId="0" applyBorder="1" applyAlignment="1">
      <alignment horizontal="center" vertical="center" wrapText="1"/>
    </xf>
    <xf numFmtId="9" fontId="0" fillId="0" borderId="5" xfId="1" applyFont="1" applyBorder="1" applyAlignment="1">
      <alignment horizontal="center" vertical="center" wrapText="1"/>
    </xf>
    <xf numFmtId="9" fontId="0" fillId="0" borderId="15" xfId="0" applyNumberFormat="1" applyBorder="1" applyAlignment="1">
      <alignment vertical="center" wrapText="1"/>
    </xf>
    <xf numFmtId="9" fontId="0" fillId="0" borderId="16" xfId="0" applyNumberFormat="1" applyBorder="1" applyAlignment="1">
      <alignment vertical="center" wrapText="1"/>
    </xf>
    <xf numFmtId="164" fontId="0" fillId="0" borderId="17" xfId="1" applyNumberFormat="1" applyFont="1" applyBorder="1" applyAlignment="1">
      <alignment vertical="center" wrapText="1"/>
    </xf>
    <xf numFmtId="0" fontId="0" fillId="3" borderId="0" xfId="0" applyFill="1" applyBorder="1" applyAlignment="1">
      <alignment horizontal="right" vertical="center" wrapText="1"/>
    </xf>
    <xf numFmtId="0" fontId="0" fillId="3" borderId="2" xfId="0" applyNumberFormat="1" applyFill="1" applyBorder="1" applyAlignment="1">
      <alignment horizontal="right" vertical="center" wrapText="1"/>
    </xf>
    <xf numFmtId="0" fontId="0" fillId="0" borderId="0" xfId="0" applyBorder="1" applyAlignment="1">
      <alignment horizontal="left" vertical="center" wrapText="1"/>
    </xf>
    <xf numFmtId="9" fontId="0" fillId="0" borderId="16" xfId="0" applyNumberFormat="1" applyBorder="1" applyAlignment="1">
      <alignment horizontal="center" vertical="center" wrapText="1"/>
    </xf>
    <xf numFmtId="0" fontId="0" fillId="0" borderId="0" xfId="0" applyBorder="1" applyAlignment="1">
      <alignment wrapText="1"/>
    </xf>
    <xf numFmtId="0" fontId="0" fillId="0" borderId="0" xfId="0" applyBorder="1" applyAlignment="1">
      <alignment horizontal="right" vertical="top" wrapText="1"/>
    </xf>
    <xf numFmtId="0" fontId="0" fillId="0" borderId="7" xfId="0" applyBorder="1" applyAlignment="1">
      <alignment horizontal="right"/>
    </xf>
    <xf numFmtId="0" fontId="0" fillId="0" borderId="2" xfId="0" applyBorder="1" applyAlignment="1">
      <alignment horizontal="right" vertical="top" wrapText="1"/>
    </xf>
    <xf numFmtId="9" fontId="0" fillId="0" borderId="15" xfId="0" applyNumberFormat="1" applyBorder="1" applyAlignment="1">
      <alignment horizontal="center" vertical="center" wrapText="1"/>
    </xf>
    <xf numFmtId="164" fontId="0" fillId="0" borderId="17" xfId="1" applyNumberFormat="1" applyFont="1" applyBorder="1" applyAlignment="1">
      <alignment horizontal="center" vertical="center" wrapText="1"/>
    </xf>
    <xf numFmtId="9" fontId="0" fillId="0" borderId="21" xfId="0" applyNumberFormat="1" applyBorder="1" applyAlignment="1">
      <alignment vertical="center" wrapText="1"/>
    </xf>
    <xf numFmtId="0" fontId="0" fillId="0" borderId="0" xfId="0" applyBorder="1" applyAlignment="1">
      <alignment horizontal="left" vertical="center"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2" fillId="2" borderId="9" xfId="0" applyFont="1" applyFill="1" applyBorder="1" applyAlignment="1">
      <alignment horizontal="left" vertical="center"/>
    </xf>
    <xf numFmtId="0" fontId="2" fillId="2" borderId="10" xfId="0" applyFont="1" applyFill="1" applyBorder="1" applyAlignment="1">
      <alignment horizontal="left" vertical="center"/>
    </xf>
    <xf numFmtId="0" fontId="0" fillId="0" borderId="0" xfId="0" applyBorder="1" applyAlignment="1">
      <alignment wrapText="1"/>
    </xf>
    <xf numFmtId="9" fontId="0" fillId="0" borderId="15" xfId="0" applyNumberFormat="1" applyBorder="1" applyAlignment="1">
      <alignment horizontal="center" vertical="center" wrapText="1"/>
    </xf>
    <xf numFmtId="9" fontId="0" fillId="0" borderId="16" xfId="0" applyNumberFormat="1" applyBorder="1" applyAlignment="1">
      <alignment horizontal="center" vertical="center" wrapText="1"/>
    </xf>
    <xf numFmtId="164" fontId="0" fillId="0" borderId="17" xfId="1" applyNumberFormat="1" applyFont="1" applyBorder="1" applyAlignment="1">
      <alignment horizontal="center" vertical="center" wrapText="1"/>
    </xf>
    <xf numFmtId="0" fontId="4" fillId="3" borderId="0" xfId="0" applyFont="1" applyFill="1" applyBorder="1" applyAlignment="1">
      <alignment horizontal="left" vertical="center" wrapText="1"/>
    </xf>
    <xf numFmtId="0" fontId="0" fillId="0" borderId="0" xfId="0" quotePrefix="1" applyBorder="1" applyAlignment="1">
      <alignment horizontal="left" vertical="center" wrapText="1"/>
    </xf>
    <xf numFmtId="0" fontId="4" fillId="3" borderId="7" xfId="0" applyFont="1" applyFill="1" applyBorder="1" applyAlignment="1">
      <alignment horizontal="left" vertical="center" wrapText="1"/>
    </xf>
    <xf numFmtId="0" fontId="0" fillId="0" borderId="2" xfId="0" applyBorder="1" applyAlignment="1">
      <alignment horizontal="right" vertical="top" wrapText="1"/>
    </xf>
    <xf numFmtId="0" fontId="0" fillId="0" borderId="0" xfId="0" applyBorder="1" applyAlignment="1">
      <alignment horizontal="right" vertical="top" wrapText="1"/>
    </xf>
    <xf numFmtId="0" fontId="0" fillId="0" borderId="7" xfId="0" applyBorder="1" applyAlignment="1">
      <alignment horizontal="right"/>
    </xf>
    <xf numFmtId="0" fontId="2" fillId="2" borderId="9" xfId="0" applyFont="1" applyFill="1" applyBorder="1" applyAlignment="1">
      <alignment vertical="center"/>
    </xf>
    <xf numFmtId="0" fontId="2" fillId="2" borderId="10" xfId="0" applyFont="1" applyFill="1" applyBorder="1" applyAlignment="1">
      <alignment vertical="center"/>
    </xf>
  </cellXfs>
  <cellStyles count="2">
    <cellStyle name="Normal" xfId="0" builtinId="0"/>
    <cellStyle name="Pourcentage"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A67A4-43A0-4705-865D-18EAE3064798}">
  <sheetPr codeName="Feuil5">
    <pageSetUpPr fitToPage="1"/>
  </sheetPr>
  <dimension ref="A1:M151"/>
  <sheetViews>
    <sheetView tabSelected="1" topLeftCell="A124" zoomScale="85" zoomScaleNormal="85" workbookViewId="0">
      <selection activeCell="P129" sqref="P129"/>
    </sheetView>
  </sheetViews>
  <sheetFormatPr baseColWidth="10" defaultRowHeight="14.4" x14ac:dyDescent="0.3"/>
  <cols>
    <col min="1" max="1" width="7.5546875" customWidth="1"/>
    <col min="2" max="2" width="5" customWidth="1"/>
    <col min="10" max="10" width="26.88671875" customWidth="1"/>
    <col min="12" max="12" width="12.6640625" customWidth="1"/>
  </cols>
  <sheetData>
    <row r="1" spans="1:13" ht="21" x14ac:dyDescent="0.4">
      <c r="A1" s="51" t="s">
        <v>20</v>
      </c>
      <c r="B1" s="52"/>
      <c r="C1" s="52"/>
      <c r="D1" s="52"/>
      <c r="E1" s="52"/>
      <c r="F1" s="52"/>
      <c r="G1" s="52"/>
      <c r="H1" s="52"/>
      <c r="I1" s="52"/>
      <c r="J1" s="52"/>
      <c r="K1" s="52"/>
      <c r="L1" s="52"/>
      <c r="M1" s="53"/>
    </row>
    <row r="2" spans="1:13" ht="21" x14ac:dyDescent="0.4">
      <c r="A2" s="54" t="s">
        <v>33</v>
      </c>
      <c r="B2" s="55"/>
      <c r="C2" s="55"/>
      <c r="D2" s="55"/>
      <c r="E2" s="55"/>
      <c r="F2" s="55"/>
      <c r="G2" s="55"/>
      <c r="H2" s="55"/>
      <c r="I2" s="55"/>
      <c r="J2" s="55"/>
      <c r="K2" s="55"/>
      <c r="L2" s="55"/>
      <c r="M2" s="56"/>
    </row>
    <row r="3" spans="1:13" ht="21" x14ac:dyDescent="0.4">
      <c r="A3" s="54" t="s">
        <v>21</v>
      </c>
      <c r="B3" s="55"/>
      <c r="C3" s="55"/>
      <c r="D3" s="55"/>
      <c r="E3" s="55"/>
      <c r="F3" s="55"/>
      <c r="G3" s="55"/>
      <c r="H3" s="55"/>
      <c r="I3" s="55"/>
      <c r="J3" s="55"/>
      <c r="K3" s="55"/>
      <c r="L3" s="55"/>
      <c r="M3" s="56"/>
    </row>
    <row r="4" spans="1:13" ht="21.6" thickBot="1" x14ac:dyDescent="0.45">
      <c r="A4" s="57" t="s">
        <v>0</v>
      </c>
      <c r="B4" s="58"/>
      <c r="C4" s="58"/>
      <c r="D4" s="58"/>
      <c r="E4" s="58"/>
      <c r="F4" s="58"/>
      <c r="G4" s="58"/>
      <c r="H4" s="58"/>
      <c r="I4" s="58"/>
      <c r="J4" s="58"/>
      <c r="K4" s="58"/>
      <c r="L4" s="58"/>
      <c r="M4" s="59"/>
    </row>
    <row r="5" spans="1:13" ht="15" thickBot="1" x14ac:dyDescent="0.35">
      <c r="K5" s="1"/>
      <c r="L5" s="1"/>
      <c r="M5" s="1"/>
    </row>
    <row r="6" spans="1:13" ht="29.4" thickBot="1" x14ac:dyDescent="0.35">
      <c r="A6" s="60" t="str">
        <f>"Codification (" &amp; SUM(L7:L23)*100&amp; "%)"</f>
        <v>Codification (20%)</v>
      </c>
      <c r="B6" s="61"/>
      <c r="C6" s="61"/>
      <c r="D6" s="61"/>
      <c r="E6" s="61"/>
      <c r="F6" s="61"/>
      <c r="G6" s="61"/>
      <c r="H6" s="61"/>
      <c r="I6" s="61"/>
      <c r="J6" s="2"/>
      <c r="K6" s="4" t="s">
        <v>1</v>
      </c>
      <c r="L6" s="5" t="s">
        <v>2</v>
      </c>
      <c r="M6" s="6" t="s">
        <v>3</v>
      </c>
    </row>
    <row r="7" spans="1:13" x14ac:dyDescent="0.3">
      <c r="A7" s="20" t="s">
        <v>5</v>
      </c>
      <c r="B7" s="43"/>
      <c r="C7" s="43"/>
      <c r="D7" s="43"/>
      <c r="E7" s="43"/>
      <c r="F7" s="43"/>
      <c r="G7" s="43"/>
      <c r="H7" s="43"/>
      <c r="I7" s="43"/>
      <c r="J7" s="43"/>
      <c r="K7" s="7"/>
      <c r="L7" s="8"/>
      <c r="M7" s="13"/>
    </row>
    <row r="8" spans="1:13" ht="30.75" customHeight="1" x14ac:dyDescent="0.3">
      <c r="A8" s="20"/>
      <c r="B8" s="62" t="s">
        <v>15</v>
      </c>
      <c r="C8" s="62"/>
      <c r="D8" s="62"/>
      <c r="E8" s="62"/>
      <c r="F8" s="62"/>
      <c r="G8" s="62"/>
      <c r="H8" s="62"/>
      <c r="I8" s="62"/>
      <c r="J8" s="62"/>
      <c r="K8" s="63">
        <v>1</v>
      </c>
      <c r="L8" s="64">
        <v>0.15</v>
      </c>
      <c r="M8" s="65">
        <f>L8*K8</f>
        <v>0.15</v>
      </c>
    </row>
    <row r="9" spans="1:13" x14ac:dyDescent="0.3">
      <c r="A9" s="20"/>
      <c r="B9" s="50" t="s">
        <v>18</v>
      </c>
      <c r="C9" s="50"/>
      <c r="D9" s="50"/>
      <c r="E9" s="50"/>
      <c r="F9" s="50"/>
      <c r="G9" s="50"/>
      <c r="H9" s="50"/>
      <c r="I9" s="50"/>
      <c r="J9" s="50"/>
      <c r="K9" s="63"/>
      <c r="L9" s="64"/>
      <c r="M9" s="65"/>
    </row>
    <row r="10" spans="1:13" x14ac:dyDescent="0.3">
      <c r="A10" s="20"/>
      <c r="B10" s="50"/>
      <c r="C10" s="50"/>
      <c r="D10" s="50"/>
      <c r="E10" s="50"/>
      <c r="F10" s="50"/>
      <c r="G10" s="50"/>
      <c r="H10" s="50"/>
      <c r="I10" s="50"/>
      <c r="J10" s="50"/>
      <c r="K10" s="63"/>
      <c r="L10" s="64"/>
      <c r="M10" s="65"/>
    </row>
    <row r="11" spans="1:13" ht="27.75" customHeight="1" x14ac:dyDescent="0.3">
      <c r="A11" s="10"/>
      <c r="B11" s="50" t="s">
        <v>12</v>
      </c>
      <c r="C11" s="50"/>
      <c r="D11" s="50"/>
      <c r="E11" s="50"/>
      <c r="F11" s="50"/>
      <c r="G11" s="50"/>
      <c r="H11" s="50"/>
      <c r="I11" s="50"/>
      <c r="J11" s="50"/>
      <c r="K11" s="63"/>
      <c r="L11" s="64"/>
      <c r="M11" s="65"/>
    </row>
    <row r="12" spans="1:13" ht="27.75" customHeight="1" x14ac:dyDescent="0.3">
      <c r="A12" s="10"/>
      <c r="B12" s="50" t="s">
        <v>27</v>
      </c>
      <c r="C12" s="50"/>
      <c r="D12" s="50"/>
      <c r="E12" s="50"/>
      <c r="F12" s="50"/>
      <c r="G12" s="50"/>
      <c r="H12" s="50"/>
      <c r="I12" s="50"/>
      <c r="J12" s="50"/>
      <c r="K12" s="63"/>
      <c r="L12" s="64"/>
      <c r="M12" s="65"/>
    </row>
    <row r="13" spans="1:13" ht="27.75" customHeight="1" x14ac:dyDescent="0.3">
      <c r="A13" s="10"/>
      <c r="B13" s="50" t="s">
        <v>26</v>
      </c>
      <c r="C13" s="50"/>
      <c r="D13" s="50"/>
      <c r="E13" s="50"/>
      <c r="F13" s="50"/>
      <c r="G13" s="50"/>
      <c r="H13" s="50"/>
      <c r="I13" s="50"/>
      <c r="J13" s="50"/>
      <c r="K13" s="63"/>
      <c r="L13" s="64"/>
      <c r="M13" s="65"/>
    </row>
    <row r="14" spans="1:13" ht="14.4" customHeight="1" x14ac:dyDescent="0.3">
      <c r="A14" s="10"/>
      <c r="B14" s="50" t="s">
        <v>16</v>
      </c>
      <c r="C14" s="50"/>
      <c r="D14" s="50"/>
      <c r="E14" s="50"/>
      <c r="F14" s="50"/>
      <c r="G14" s="50"/>
      <c r="H14" s="50"/>
      <c r="I14" s="50"/>
      <c r="J14" s="50"/>
      <c r="K14" s="63"/>
      <c r="L14" s="64"/>
      <c r="M14" s="65"/>
    </row>
    <row r="15" spans="1:13" ht="14.4" customHeight="1" x14ac:dyDescent="0.3">
      <c r="A15" s="10"/>
      <c r="B15" s="50" t="s">
        <v>32</v>
      </c>
      <c r="C15" s="50"/>
      <c r="D15" s="50"/>
      <c r="E15" s="50"/>
      <c r="F15" s="50"/>
      <c r="G15" s="50"/>
      <c r="H15" s="50"/>
      <c r="I15" s="50"/>
      <c r="J15" s="50"/>
      <c r="K15" s="63"/>
      <c r="L15" s="64"/>
      <c r="M15" s="65"/>
    </row>
    <row r="16" spans="1:13" ht="14.4" customHeight="1" x14ac:dyDescent="0.3">
      <c r="A16" s="10"/>
      <c r="B16" s="50" t="s">
        <v>19</v>
      </c>
      <c r="C16" s="50"/>
      <c r="D16" s="50"/>
      <c r="E16" s="50"/>
      <c r="F16" s="50"/>
      <c r="G16" s="50"/>
      <c r="H16" s="50"/>
      <c r="I16" s="50"/>
      <c r="J16" s="50"/>
      <c r="K16" s="63"/>
      <c r="L16" s="64"/>
      <c r="M16" s="65"/>
    </row>
    <row r="17" spans="1:13" x14ac:dyDescent="0.3">
      <c r="A17" s="10"/>
      <c r="B17" s="50" t="s">
        <v>11</v>
      </c>
      <c r="C17" s="50"/>
      <c r="D17" s="50"/>
      <c r="E17" s="50"/>
      <c r="F17" s="50"/>
      <c r="G17" s="50"/>
      <c r="H17" s="50"/>
      <c r="I17" s="50"/>
      <c r="J17" s="50"/>
      <c r="K17" s="47"/>
      <c r="L17" s="42"/>
      <c r="M17" s="48"/>
    </row>
    <row r="18" spans="1:13" x14ac:dyDescent="0.3">
      <c r="A18" s="20" t="s">
        <v>34</v>
      </c>
      <c r="B18" s="41"/>
      <c r="C18" s="41"/>
      <c r="D18" s="41"/>
      <c r="E18" s="41"/>
      <c r="F18" s="41"/>
      <c r="G18" s="41"/>
      <c r="H18" s="41"/>
      <c r="I18" s="41"/>
      <c r="J18" s="41"/>
      <c r="K18" s="47"/>
      <c r="L18" s="42"/>
      <c r="M18" s="48"/>
    </row>
    <row r="19" spans="1:13" x14ac:dyDescent="0.3">
      <c r="A19" s="10"/>
      <c r="B19" s="50" t="s">
        <v>35</v>
      </c>
      <c r="C19" s="50"/>
      <c r="D19" s="50"/>
      <c r="E19" s="50"/>
      <c r="F19" s="50"/>
      <c r="G19" s="50"/>
      <c r="H19" s="50"/>
      <c r="I19" s="50"/>
      <c r="J19" s="50"/>
      <c r="K19" s="63">
        <v>1</v>
      </c>
      <c r="L19" s="64">
        <v>0.05</v>
      </c>
      <c r="M19" s="65">
        <f>L19*K19</f>
        <v>0.05</v>
      </c>
    </row>
    <row r="20" spans="1:13" ht="15" customHeight="1" x14ac:dyDescent="0.3">
      <c r="A20" s="10"/>
      <c r="B20" s="50" t="s">
        <v>36</v>
      </c>
      <c r="C20" s="50"/>
      <c r="D20" s="50"/>
      <c r="E20" s="50"/>
      <c r="F20" s="50"/>
      <c r="G20" s="50"/>
      <c r="H20" s="50"/>
      <c r="I20" s="50"/>
      <c r="J20" s="50"/>
      <c r="K20" s="63"/>
      <c r="L20" s="64"/>
      <c r="M20" s="65"/>
    </row>
    <row r="21" spans="1:13" ht="15" customHeight="1" x14ac:dyDescent="0.3">
      <c r="A21" s="10"/>
      <c r="B21" s="50" t="s">
        <v>37</v>
      </c>
      <c r="C21" s="50"/>
      <c r="D21" s="50"/>
      <c r="E21" s="50"/>
      <c r="F21" s="50"/>
      <c r="G21" s="50"/>
      <c r="H21" s="50"/>
      <c r="I21" s="50"/>
      <c r="J21" s="50"/>
      <c r="K21" s="63"/>
      <c r="L21" s="64"/>
      <c r="M21" s="65"/>
    </row>
    <row r="22" spans="1:13" x14ac:dyDescent="0.3">
      <c r="A22" s="10"/>
      <c r="B22" s="12" t="s">
        <v>4</v>
      </c>
      <c r="C22" s="43"/>
      <c r="D22" s="43"/>
      <c r="E22" s="43"/>
      <c r="F22" s="43"/>
      <c r="G22" s="43"/>
      <c r="H22" s="43"/>
      <c r="I22" s="43"/>
      <c r="J22" s="43"/>
      <c r="K22" s="7"/>
      <c r="L22" s="8"/>
      <c r="M22" s="13"/>
    </row>
    <row r="23" spans="1:13" ht="27" customHeight="1" x14ac:dyDescent="0.3">
      <c r="A23" s="14"/>
      <c r="B23" s="66"/>
      <c r="C23" s="66"/>
      <c r="D23" s="66"/>
      <c r="E23" s="66"/>
      <c r="F23" s="66"/>
      <c r="G23" s="66"/>
      <c r="H23" s="66"/>
      <c r="I23" s="66"/>
      <c r="J23" s="66"/>
      <c r="K23" s="7"/>
      <c r="L23" s="8"/>
      <c r="M23" s="9"/>
    </row>
    <row r="24" spans="1:13" ht="15" thickBot="1" x14ac:dyDescent="0.35">
      <c r="A24" s="15"/>
      <c r="B24" s="16"/>
      <c r="C24" s="16"/>
      <c r="D24" s="16"/>
      <c r="E24" s="16"/>
      <c r="F24" s="16"/>
      <c r="G24" s="16"/>
      <c r="H24" s="16"/>
      <c r="I24" s="16"/>
      <c r="J24" s="16"/>
      <c r="K24" s="17"/>
      <c r="L24" s="18"/>
      <c r="M24" s="19"/>
    </row>
    <row r="25" spans="1:13" ht="15" thickBot="1" x14ac:dyDescent="0.35">
      <c r="B25" s="21"/>
      <c r="C25" s="21"/>
      <c r="D25" s="21"/>
      <c r="E25" s="21"/>
      <c r="F25" s="21"/>
      <c r="G25" s="21"/>
      <c r="H25" s="21"/>
      <c r="I25" s="21"/>
      <c r="J25" s="21"/>
      <c r="K25" s="1"/>
      <c r="L25" s="1"/>
      <c r="M25" s="1"/>
    </row>
    <row r="26" spans="1:13" ht="29.4" thickBot="1" x14ac:dyDescent="0.35">
      <c r="A26" s="60" t="str">
        <f>"Le menu principal (" &amp; SUM(L27:L35)*100&amp; "%)"</f>
        <v>Le menu principal (5%)</v>
      </c>
      <c r="B26" s="61"/>
      <c r="C26" s="61"/>
      <c r="D26" s="61"/>
      <c r="E26" s="61"/>
      <c r="F26" s="61"/>
      <c r="G26" s="61"/>
      <c r="H26" s="61"/>
      <c r="I26" s="61"/>
      <c r="J26" s="2"/>
      <c r="K26" s="4" t="s">
        <v>1</v>
      </c>
      <c r="L26" s="5" t="s">
        <v>2</v>
      </c>
      <c r="M26" s="6" t="s">
        <v>3</v>
      </c>
    </row>
    <row r="27" spans="1:13" x14ac:dyDescent="0.3">
      <c r="A27" s="20" t="s">
        <v>22</v>
      </c>
      <c r="B27" s="43"/>
      <c r="C27" s="43"/>
      <c r="D27" s="43"/>
      <c r="E27" s="43"/>
      <c r="F27" s="43"/>
      <c r="G27" s="43"/>
      <c r="H27" s="43"/>
      <c r="I27" s="43"/>
      <c r="J27" s="43"/>
      <c r="K27" s="7"/>
      <c r="L27" s="8"/>
      <c r="M27" s="13"/>
    </row>
    <row r="28" spans="1:13" x14ac:dyDescent="0.3">
      <c r="A28" s="20"/>
      <c r="B28" s="62" t="s">
        <v>38</v>
      </c>
      <c r="C28" s="62"/>
      <c r="D28" s="62"/>
      <c r="E28" s="62"/>
      <c r="F28" s="62"/>
      <c r="G28" s="62"/>
      <c r="H28" s="62"/>
      <c r="I28" s="62"/>
      <c r="J28" s="62"/>
      <c r="K28" s="63">
        <v>1</v>
      </c>
      <c r="L28" s="64">
        <v>0.05</v>
      </c>
      <c r="M28" s="65">
        <f>L28*K28</f>
        <v>0.05</v>
      </c>
    </row>
    <row r="29" spans="1:13" x14ac:dyDescent="0.3">
      <c r="A29" s="20"/>
      <c r="B29" s="50" t="s">
        <v>39</v>
      </c>
      <c r="C29" s="50"/>
      <c r="D29" s="50"/>
      <c r="E29" s="50"/>
      <c r="F29" s="50"/>
      <c r="G29" s="50"/>
      <c r="H29" s="50"/>
      <c r="I29" s="50"/>
      <c r="J29" s="50"/>
      <c r="K29" s="63"/>
      <c r="L29" s="64"/>
      <c r="M29" s="65"/>
    </row>
    <row r="30" spans="1:13" ht="14.4" customHeight="1" x14ac:dyDescent="0.3">
      <c r="A30" s="10"/>
      <c r="B30" s="50" t="s">
        <v>40</v>
      </c>
      <c r="C30" s="50"/>
      <c r="D30" s="50"/>
      <c r="E30" s="50"/>
      <c r="F30" s="50"/>
      <c r="G30" s="50"/>
      <c r="H30" s="50"/>
      <c r="I30" s="50"/>
      <c r="J30" s="50"/>
      <c r="K30" s="63"/>
      <c r="L30" s="64"/>
      <c r="M30" s="65"/>
    </row>
    <row r="31" spans="1:13" ht="29.25" customHeight="1" x14ac:dyDescent="0.3">
      <c r="A31" s="10"/>
      <c r="B31" s="50" t="s">
        <v>41</v>
      </c>
      <c r="C31" s="50"/>
      <c r="D31" s="50"/>
      <c r="E31" s="50"/>
      <c r="F31" s="50"/>
      <c r="G31" s="50"/>
      <c r="H31" s="50"/>
      <c r="I31" s="50"/>
      <c r="J31" s="50"/>
      <c r="K31" s="63"/>
      <c r="L31" s="64"/>
      <c r="M31" s="65"/>
    </row>
    <row r="32" spans="1:13" ht="14.4" customHeight="1" x14ac:dyDescent="0.3">
      <c r="A32" s="10"/>
      <c r="B32" s="50" t="s">
        <v>42</v>
      </c>
      <c r="C32" s="50"/>
      <c r="D32" s="50"/>
      <c r="E32" s="50"/>
      <c r="F32" s="50"/>
      <c r="G32" s="50"/>
      <c r="H32" s="50"/>
      <c r="I32" s="50"/>
      <c r="J32" s="50"/>
      <c r="K32" s="63"/>
      <c r="L32" s="64"/>
      <c r="M32" s="65"/>
    </row>
    <row r="33" spans="1:13" x14ac:dyDescent="0.3">
      <c r="A33" s="10"/>
      <c r="B33" s="50" t="s">
        <v>11</v>
      </c>
      <c r="C33" s="50"/>
      <c r="D33" s="50"/>
      <c r="E33" s="50"/>
      <c r="F33" s="50"/>
      <c r="G33" s="50"/>
      <c r="H33" s="50"/>
      <c r="I33" s="50"/>
      <c r="J33" s="50"/>
      <c r="K33" s="47"/>
      <c r="L33" s="42"/>
      <c r="M33" s="48"/>
    </row>
    <row r="34" spans="1:13" x14ac:dyDescent="0.3">
      <c r="A34" s="10"/>
      <c r="B34" s="12" t="s">
        <v>4</v>
      </c>
      <c r="C34" s="43"/>
      <c r="D34" s="43"/>
      <c r="E34" s="43"/>
      <c r="F34" s="43"/>
      <c r="G34" s="43"/>
      <c r="H34" s="43"/>
      <c r="I34" s="43"/>
      <c r="J34" s="43"/>
      <c r="K34" s="7"/>
      <c r="L34" s="8"/>
      <c r="M34" s="13"/>
    </row>
    <row r="35" spans="1:13" ht="27" customHeight="1" x14ac:dyDescent="0.3">
      <c r="A35" s="14"/>
      <c r="B35" s="66"/>
      <c r="C35" s="66"/>
      <c r="D35" s="66"/>
      <c r="E35" s="66"/>
      <c r="F35" s="66"/>
      <c r="G35" s="66"/>
      <c r="H35" s="66"/>
      <c r="I35" s="66"/>
      <c r="J35" s="66"/>
      <c r="K35" s="7"/>
      <c r="L35" s="8"/>
      <c r="M35" s="9"/>
    </row>
    <row r="36" spans="1:13" ht="15" thickBot="1" x14ac:dyDescent="0.35">
      <c r="A36" s="15"/>
      <c r="B36" s="16"/>
      <c r="C36" s="16"/>
      <c r="D36" s="16"/>
      <c r="E36" s="16"/>
      <c r="F36" s="16"/>
      <c r="G36" s="16"/>
      <c r="H36" s="16"/>
      <c r="I36" s="16"/>
      <c r="J36" s="16"/>
      <c r="K36" s="17"/>
      <c r="L36" s="18"/>
      <c r="M36" s="19"/>
    </row>
    <row r="37" spans="1:13" ht="15" thickBot="1" x14ac:dyDescent="0.35">
      <c r="B37" s="21"/>
      <c r="C37" s="21"/>
      <c r="D37" s="21"/>
      <c r="E37" s="21"/>
      <c r="F37" s="21"/>
      <c r="G37" s="21"/>
      <c r="H37" s="21"/>
      <c r="I37" s="21"/>
      <c r="J37" s="21"/>
      <c r="K37" s="1"/>
      <c r="L37" s="1"/>
      <c r="M37" s="1"/>
    </row>
    <row r="38" spans="1:13" ht="29.4" thickBot="1" x14ac:dyDescent="0.35">
      <c r="A38" s="60" t="str">
        <f>"La partie (" &amp; SUM(L39:L55)*100&amp; "%)"</f>
        <v>La partie (20%)</v>
      </c>
      <c r="B38" s="61"/>
      <c r="C38" s="61"/>
      <c r="D38" s="61"/>
      <c r="E38" s="61"/>
      <c r="F38" s="61"/>
      <c r="G38" s="61"/>
      <c r="H38" s="61"/>
      <c r="I38" s="61"/>
      <c r="J38" s="2"/>
      <c r="K38" s="4" t="s">
        <v>1</v>
      </c>
      <c r="L38" s="5" t="s">
        <v>2</v>
      </c>
      <c r="M38" s="6" t="s">
        <v>3</v>
      </c>
    </row>
    <row r="39" spans="1:13" x14ac:dyDescent="0.3">
      <c r="A39" s="20" t="s">
        <v>22</v>
      </c>
      <c r="B39" s="43"/>
      <c r="C39" s="43"/>
      <c r="D39" s="43"/>
      <c r="E39" s="43"/>
      <c r="F39" s="43"/>
      <c r="G39" s="43"/>
      <c r="H39" s="43"/>
      <c r="I39" s="43"/>
      <c r="J39" s="43"/>
      <c r="K39" s="7"/>
      <c r="L39" s="8"/>
      <c r="M39" s="13"/>
    </row>
    <row r="40" spans="1:13" x14ac:dyDescent="0.3">
      <c r="A40" s="20"/>
      <c r="B40" s="62" t="s">
        <v>43</v>
      </c>
      <c r="C40" s="62"/>
      <c r="D40" s="62"/>
      <c r="E40" s="62"/>
      <c r="F40" s="62"/>
      <c r="G40" s="62"/>
      <c r="H40" s="62"/>
      <c r="I40" s="62"/>
      <c r="J40" s="62"/>
      <c r="K40" s="63">
        <v>1</v>
      </c>
      <c r="L40" s="64">
        <v>0.1</v>
      </c>
      <c r="M40" s="65">
        <f>L40*K40</f>
        <v>0.1</v>
      </c>
    </row>
    <row r="41" spans="1:13" ht="15" customHeight="1" x14ac:dyDescent="0.3">
      <c r="A41" s="20"/>
      <c r="B41" s="50" t="s">
        <v>44</v>
      </c>
      <c r="C41" s="50"/>
      <c r="D41" s="50"/>
      <c r="E41" s="50"/>
      <c r="F41" s="50"/>
      <c r="G41" s="50"/>
      <c r="H41" s="50"/>
      <c r="I41" s="50"/>
      <c r="J41" s="50"/>
      <c r="K41" s="63"/>
      <c r="L41" s="64"/>
      <c r="M41" s="65"/>
    </row>
    <row r="42" spans="1:13" ht="29.25" customHeight="1" x14ac:dyDescent="0.3">
      <c r="A42" s="10"/>
      <c r="B42" s="50" t="s">
        <v>45</v>
      </c>
      <c r="C42" s="50"/>
      <c r="D42" s="50"/>
      <c r="E42" s="50"/>
      <c r="F42" s="50"/>
      <c r="G42" s="50"/>
      <c r="H42" s="50"/>
      <c r="I42" s="50"/>
      <c r="J42" s="50"/>
      <c r="K42" s="63"/>
      <c r="L42" s="64"/>
      <c r="M42" s="65"/>
    </row>
    <row r="43" spans="1:13" ht="14.4" customHeight="1" x14ac:dyDescent="0.3">
      <c r="A43" s="10"/>
      <c r="B43" s="50" t="s">
        <v>46</v>
      </c>
      <c r="C43" s="50"/>
      <c r="D43" s="50"/>
      <c r="E43" s="50"/>
      <c r="F43" s="50"/>
      <c r="G43" s="50"/>
      <c r="H43" s="50"/>
      <c r="I43" s="50"/>
      <c r="J43" s="50"/>
      <c r="K43" s="63"/>
      <c r="L43" s="64"/>
      <c r="M43" s="65"/>
    </row>
    <row r="44" spans="1:13" ht="14.4" customHeight="1" x14ac:dyDescent="0.3">
      <c r="A44" s="10"/>
      <c r="B44" s="50" t="s">
        <v>47</v>
      </c>
      <c r="C44" s="50"/>
      <c r="D44" s="50"/>
      <c r="E44" s="50"/>
      <c r="F44" s="50"/>
      <c r="G44" s="50"/>
      <c r="H44" s="50"/>
      <c r="I44" s="50"/>
      <c r="J44" s="50"/>
      <c r="K44" s="63"/>
      <c r="L44" s="64"/>
      <c r="M44" s="65"/>
    </row>
    <row r="45" spans="1:13" ht="14.4" customHeight="1" x14ac:dyDescent="0.3">
      <c r="A45" s="10"/>
      <c r="B45" s="50" t="s">
        <v>58</v>
      </c>
      <c r="C45" s="50"/>
      <c r="D45" s="50"/>
      <c r="E45" s="50"/>
      <c r="F45" s="50"/>
      <c r="G45" s="50"/>
      <c r="H45" s="50"/>
      <c r="I45" s="50"/>
      <c r="J45" s="50"/>
      <c r="K45" s="63"/>
      <c r="L45" s="64"/>
      <c r="M45" s="65"/>
    </row>
    <row r="46" spans="1:13" ht="14.4" customHeight="1" x14ac:dyDescent="0.3">
      <c r="A46" s="10"/>
      <c r="B46" s="50" t="s">
        <v>59</v>
      </c>
      <c r="C46" s="50"/>
      <c r="D46" s="50"/>
      <c r="E46" s="50"/>
      <c r="F46" s="50"/>
      <c r="G46" s="50"/>
      <c r="H46" s="50"/>
      <c r="I46" s="50"/>
      <c r="J46" s="50"/>
      <c r="K46" s="63"/>
      <c r="L46" s="64"/>
      <c r="M46" s="65"/>
    </row>
    <row r="47" spans="1:13" ht="14.4" customHeight="1" x14ac:dyDescent="0.3">
      <c r="A47" s="10"/>
      <c r="B47" s="50" t="s">
        <v>80</v>
      </c>
      <c r="C47" s="50"/>
      <c r="D47" s="50"/>
      <c r="E47" s="50"/>
      <c r="F47" s="50"/>
      <c r="G47" s="50"/>
      <c r="H47" s="50"/>
      <c r="I47" s="50"/>
      <c r="J47" s="50"/>
      <c r="K47" s="63"/>
      <c r="L47" s="64"/>
      <c r="M47" s="65"/>
    </row>
    <row r="48" spans="1:13" ht="14.4" customHeight="1" x14ac:dyDescent="0.3">
      <c r="A48" s="10"/>
      <c r="B48" s="50" t="s">
        <v>81</v>
      </c>
      <c r="C48" s="50"/>
      <c r="D48" s="50"/>
      <c r="E48" s="50"/>
      <c r="F48" s="50"/>
      <c r="G48" s="50"/>
      <c r="H48" s="50"/>
      <c r="I48" s="50"/>
      <c r="J48" s="50"/>
      <c r="K48" s="63"/>
      <c r="L48" s="64"/>
      <c r="M48" s="65"/>
    </row>
    <row r="49" spans="1:13" ht="14.4" customHeight="1" x14ac:dyDescent="0.3">
      <c r="A49" s="10"/>
      <c r="B49" s="50" t="s">
        <v>82</v>
      </c>
      <c r="C49" s="50"/>
      <c r="D49" s="50"/>
      <c r="E49" s="50"/>
      <c r="F49" s="50"/>
      <c r="G49" s="50"/>
      <c r="H49" s="50"/>
      <c r="I49" s="50"/>
      <c r="J49" s="50"/>
      <c r="K49" s="63"/>
      <c r="L49" s="64"/>
      <c r="M49" s="65"/>
    </row>
    <row r="50" spans="1:13" ht="14.4" customHeight="1" x14ac:dyDescent="0.3">
      <c r="A50" s="10"/>
      <c r="B50" s="50" t="s">
        <v>60</v>
      </c>
      <c r="C50" s="50"/>
      <c r="D50" s="50"/>
      <c r="E50" s="50"/>
      <c r="F50" s="50"/>
      <c r="G50" s="50"/>
      <c r="H50" s="50"/>
      <c r="I50" s="50"/>
      <c r="J50" s="50"/>
      <c r="K50" s="47">
        <v>1</v>
      </c>
      <c r="L50" s="42">
        <v>0.03</v>
      </c>
      <c r="M50" s="48">
        <f>L50*K50</f>
        <v>0.03</v>
      </c>
    </row>
    <row r="51" spans="1:13" ht="14.4" customHeight="1" x14ac:dyDescent="0.3">
      <c r="A51" s="10"/>
      <c r="B51" s="50" t="s">
        <v>61</v>
      </c>
      <c r="C51" s="50"/>
      <c r="D51" s="50"/>
      <c r="E51" s="50"/>
      <c r="F51" s="50"/>
      <c r="G51" s="50"/>
      <c r="H51" s="50"/>
      <c r="I51" s="50"/>
      <c r="J51" s="50"/>
      <c r="K51" s="47">
        <v>1</v>
      </c>
      <c r="L51" s="42">
        <v>0.02</v>
      </c>
      <c r="M51" s="48">
        <f>L51*K51</f>
        <v>0.02</v>
      </c>
    </row>
    <row r="52" spans="1:13" ht="14.4" customHeight="1" x14ac:dyDescent="0.3">
      <c r="A52" s="10"/>
      <c r="B52" s="50" t="s">
        <v>83</v>
      </c>
      <c r="C52" s="50"/>
      <c r="D52" s="50"/>
      <c r="E52" s="50"/>
      <c r="F52" s="50"/>
      <c r="G52" s="50"/>
      <c r="H52" s="50"/>
      <c r="I52" s="50"/>
      <c r="J52" s="50"/>
      <c r="K52" s="47">
        <v>1</v>
      </c>
      <c r="L52" s="42">
        <v>0.05</v>
      </c>
      <c r="M52" s="48">
        <f>L52*K52</f>
        <v>0.05</v>
      </c>
    </row>
    <row r="53" spans="1:13" x14ac:dyDescent="0.3">
      <c r="A53" s="10"/>
      <c r="B53" s="50" t="s">
        <v>11</v>
      </c>
      <c r="C53" s="50"/>
      <c r="D53" s="50"/>
      <c r="E53" s="50"/>
      <c r="F53" s="50"/>
      <c r="G53" s="50"/>
      <c r="H53" s="50"/>
      <c r="I53" s="50"/>
      <c r="J53" s="50"/>
      <c r="K53" s="47"/>
      <c r="L53" s="42"/>
      <c r="M53" s="48"/>
    </row>
    <row r="54" spans="1:13" x14ac:dyDescent="0.3">
      <c r="A54" s="10"/>
      <c r="B54" s="12" t="s">
        <v>4</v>
      </c>
      <c r="C54" s="43"/>
      <c r="D54" s="43"/>
      <c r="E54" s="43"/>
      <c r="F54" s="43"/>
      <c r="G54" s="43"/>
      <c r="H54" s="43"/>
      <c r="I54" s="43"/>
      <c r="J54" s="43"/>
      <c r="K54" s="7"/>
      <c r="L54" s="8"/>
      <c r="M54" s="13"/>
    </row>
    <row r="55" spans="1:13" ht="27" customHeight="1" x14ac:dyDescent="0.3">
      <c r="A55" s="14"/>
      <c r="B55" s="66"/>
      <c r="C55" s="66"/>
      <c r="D55" s="66"/>
      <c r="E55" s="66"/>
      <c r="F55" s="66"/>
      <c r="G55" s="66"/>
      <c r="H55" s="66"/>
      <c r="I55" s="66"/>
      <c r="J55" s="66"/>
      <c r="K55" s="7"/>
      <c r="L55" s="8"/>
      <c r="M55" s="9"/>
    </row>
    <row r="56" spans="1:13" ht="15" thickBot="1" x14ac:dyDescent="0.35">
      <c r="A56" s="15"/>
      <c r="B56" s="16"/>
      <c r="C56" s="16"/>
      <c r="D56" s="16"/>
      <c r="E56" s="16"/>
      <c r="F56" s="16"/>
      <c r="G56" s="16"/>
      <c r="H56" s="16"/>
      <c r="I56" s="16"/>
      <c r="J56" s="16"/>
      <c r="K56" s="17"/>
      <c r="L56" s="18"/>
      <c r="M56" s="19"/>
    </row>
    <row r="57" spans="1:13" ht="15" thickBot="1" x14ac:dyDescent="0.35">
      <c r="B57" s="21"/>
      <c r="C57" s="21"/>
      <c r="D57" s="21"/>
      <c r="E57" s="21"/>
      <c r="F57" s="21"/>
      <c r="G57" s="21"/>
      <c r="H57" s="21"/>
      <c r="I57" s="21"/>
      <c r="J57" s="21"/>
      <c r="K57" s="1"/>
      <c r="L57" s="1"/>
      <c r="M57" s="1"/>
    </row>
    <row r="58" spans="1:13" ht="29.4" thickBot="1" x14ac:dyDescent="0.35">
      <c r="A58" s="60" t="str">
        <f>"Le personnage principal (" &amp; SUM(L59:L72)*100&amp; "%)"</f>
        <v>Le personnage principal (10%)</v>
      </c>
      <c r="B58" s="61"/>
      <c r="C58" s="61"/>
      <c r="D58" s="61"/>
      <c r="E58" s="61"/>
      <c r="F58" s="61"/>
      <c r="G58" s="61"/>
      <c r="H58" s="61"/>
      <c r="I58" s="61"/>
      <c r="J58" s="2"/>
      <c r="K58" s="4" t="s">
        <v>1</v>
      </c>
      <c r="L58" s="5" t="s">
        <v>2</v>
      </c>
      <c r="M58" s="6" t="s">
        <v>3</v>
      </c>
    </row>
    <row r="59" spans="1:13" x14ac:dyDescent="0.3">
      <c r="A59" s="20" t="s">
        <v>22</v>
      </c>
      <c r="B59" s="43"/>
      <c r="C59" s="43"/>
      <c r="D59" s="43"/>
      <c r="E59" s="43"/>
      <c r="F59" s="43"/>
      <c r="G59" s="43"/>
      <c r="H59" s="43"/>
      <c r="I59" s="43"/>
      <c r="J59" s="43"/>
      <c r="K59" s="7"/>
      <c r="L59" s="8"/>
      <c r="M59" s="13"/>
    </row>
    <row r="60" spans="1:13" ht="30.75" customHeight="1" x14ac:dyDescent="0.3">
      <c r="A60" s="20"/>
      <c r="B60" s="62" t="s">
        <v>48</v>
      </c>
      <c r="C60" s="62"/>
      <c r="D60" s="62"/>
      <c r="E60" s="62"/>
      <c r="F60" s="62"/>
      <c r="G60" s="62"/>
      <c r="H60" s="62"/>
      <c r="I60" s="62"/>
      <c r="J60" s="62"/>
      <c r="K60" s="63">
        <v>1</v>
      </c>
      <c r="L60" s="64">
        <v>0.1</v>
      </c>
      <c r="M60" s="65">
        <f>L60*K60</f>
        <v>0.1</v>
      </c>
    </row>
    <row r="61" spans="1:13" x14ac:dyDescent="0.3">
      <c r="A61" s="20"/>
      <c r="B61" s="50" t="s">
        <v>50</v>
      </c>
      <c r="C61" s="50"/>
      <c r="D61" s="50"/>
      <c r="E61" s="50"/>
      <c r="F61" s="50"/>
      <c r="G61" s="50"/>
      <c r="H61" s="50"/>
      <c r="I61" s="50"/>
      <c r="J61" s="50"/>
      <c r="K61" s="63"/>
      <c r="L61" s="64"/>
      <c r="M61" s="65"/>
    </row>
    <row r="62" spans="1:13" ht="14.4" customHeight="1" x14ac:dyDescent="0.3">
      <c r="A62" s="10"/>
      <c r="B62" s="50" t="s">
        <v>49</v>
      </c>
      <c r="C62" s="50"/>
      <c r="D62" s="50"/>
      <c r="E62" s="50"/>
      <c r="F62" s="50"/>
      <c r="G62" s="50"/>
      <c r="H62" s="50"/>
      <c r="I62" s="50"/>
      <c r="J62" s="50"/>
      <c r="K62" s="63"/>
      <c r="L62" s="64"/>
      <c r="M62" s="65"/>
    </row>
    <row r="63" spans="1:13" ht="14.4" customHeight="1" x14ac:dyDescent="0.3">
      <c r="A63" s="10"/>
      <c r="B63" s="50" t="s">
        <v>51</v>
      </c>
      <c r="C63" s="50"/>
      <c r="D63" s="50"/>
      <c r="E63" s="50"/>
      <c r="F63" s="50"/>
      <c r="G63" s="50"/>
      <c r="H63" s="50"/>
      <c r="I63" s="50"/>
      <c r="J63" s="50"/>
      <c r="K63" s="63"/>
      <c r="L63" s="64"/>
      <c r="M63" s="65"/>
    </row>
    <row r="64" spans="1:13" ht="14.4" customHeight="1" x14ac:dyDescent="0.3">
      <c r="A64" s="10"/>
      <c r="B64" s="50" t="s">
        <v>77</v>
      </c>
      <c r="C64" s="50"/>
      <c r="D64" s="50"/>
      <c r="E64" s="50"/>
      <c r="F64" s="50"/>
      <c r="G64" s="50"/>
      <c r="H64" s="50"/>
      <c r="I64" s="50"/>
      <c r="J64" s="50"/>
      <c r="K64" s="63"/>
      <c r="L64" s="64"/>
      <c r="M64" s="65"/>
    </row>
    <row r="65" spans="1:13" ht="28.5" customHeight="1" x14ac:dyDescent="0.3">
      <c r="A65" s="10"/>
      <c r="B65" s="50" t="s">
        <v>57</v>
      </c>
      <c r="C65" s="50"/>
      <c r="D65" s="50"/>
      <c r="E65" s="50"/>
      <c r="F65" s="50"/>
      <c r="G65" s="50"/>
      <c r="H65" s="50"/>
      <c r="I65" s="50"/>
      <c r="J65" s="50"/>
      <c r="K65" s="63"/>
      <c r="L65" s="64"/>
      <c r="M65" s="65"/>
    </row>
    <row r="66" spans="1:13" x14ac:dyDescent="0.3">
      <c r="A66" s="10"/>
      <c r="B66" s="50" t="s">
        <v>69</v>
      </c>
      <c r="C66" s="50"/>
      <c r="D66" s="50"/>
      <c r="E66" s="50"/>
      <c r="F66" s="50"/>
      <c r="G66" s="50"/>
      <c r="H66" s="50"/>
      <c r="I66" s="50"/>
      <c r="J66" s="50"/>
      <c r="K66" s="63"/>
      <c r="L66" s="64"/>
      <c r="M66" s="65"/>
    </row>
    <row r="67" spans="1:13" ht="15" customHeight="1" x14ac:dyDescent="0.3">
      <c r="A67" s="10"/>
      <c r="B67" s="50" t="s">
        <v>71</v>
      </c>
      <c r="C67" s="50"/>
      <c r="D67" s="50"/>
      <c r="E67" s="50"/>
      <c r="F67" s="50"/>
      <c r="G67" s="50"/>
      <c r="H67" s="50"/>
      <c r="I67" s="50"/>
      <c r="J67" s="50"/>
      <c r="K67" s="63"/>
      <c r="L67" s="64"/>
      <c r="M67" s="65"/>
    </row>
    <row r="68" spans="1:13" ht="15" customHeight="1" x14ac:dyDescent="0.3">
      <c r="A68" s="10"/>
      <c r="B68" s="50" t="s">
        <v>70</v>
      </c>
      <c r="C68" s="50"/>
      <c r="D68" s="50"/>
      <c r="E68" s="50"/>
      <c r="F68" s="50"/>
      <c r="G68" s="50"/>
      <c r="H68" s="50"/>
      <c r="I68" s="50"/>
      <c r="J68" s="50"/>
      <c r="K68" s="63"/>
      <c r="L68" s="64"/>
      <c r="M68" s="65"/>
    </row>
    <row r="69" spans="1:13" ht="14.4" customHeight="1" x14ac:dyDescent="0.3">
      <c r="A69" s="10"/>
      <c r="B69" s="50" t="s">
        <v>52</v>
      </c>
      <c r="C69" s="50"/>
      <c r="D69" s="50"/>
      <c r="E69" s="50"/>
      <c r="F69" s="50"/>
      <c r="G69" s="50"/>
      <c r="H69" s="50"/>
      <c r="I69" s="50"/>
      <c r="J69" s="50"/>
      <c r="K69" s="63"/>
      <c r="L69" s="64"/>
      <c r="M69" s="65"/>
    </row>
    <row r="70" spans="1:13" x14ac:dyDescent="0.3">
      <c r="A70" s="10"/>
      <c r="B70" s="50" t="s">
        <v>11</v>
      </c>
      <c r="C70" s="50"/>
      <c r="D70" s="50"/>
      <c r="E70" s="50"/>
      <c r="F70" s="50"/>
      <c r="G70" s="50"/>
      <c r="H70" s="50"/>
      <c r="I70" s="50"/>
      <c r="J70" s="50"/>
      <c r="K70" s="47"/>
      <c r="L70" s="42"/>
      <c r="M70" s="48"/>
    </row>
    <row r="71" spans="1:13" x14ac:dyDescent="0.3">
      <c r="A71" s="10"/>
      <c r="B71" s="12" t="s">
        <v>4</v>
      </c>
      <c r="C71" s="43"/>
      <c r="D71" s="43"/>
      <c r="E71" s="43"/>
      <c r="F71" s="43"/>
      <c r="G71" s="43"/>
      <c r="H71" s="43"/>
      <c r="I71" s="43"/>
      <c r="J71" s="43"/>
      <c r="K71" s="7"/>
      <c r="L71" s="8"/>
      <c r="M71" s="13"/>
    </row>
    <row r="72" spans="1:13" ht="27" customHeight="1" x14ac:dyDescent="0.3">
      <c r="A72" s="14"/>
      <c r="B72" s="66"/>
      <c r="C72" s="66"/>
      <c r="D72" s="66"/>
      <c r="E72" s="66"/>
      <c r="F72" s="66"/>
      <c r="G72" s="66"/>
      <c r="H72" s="66"/>
      <c r="I72" s="66"/>
      <c r="J72" s="66"/>
      <c r="K72" s="7"/>
      <c r="L72" s="8"/>
      <c r="M72" s="9"/>
    </row>
    <row r="73" spans="1:13" ht="15" thickBot="1" x14ac:dyDescent="0.35">
      <c r="A73" s="15"/>
      <c r="B73" s="16"/>
      <c r="C73" s="16"/>
      <c r="D73" s="16"/>
      <c r="E73" s="16"/>
      <c r="F73" s="16"/>
      <c r="G73" s="16"/>
      <c r="H73" s="16"/>
      <c r="I73" s="16"/>
      <c r="J73" s="16"/>
      <c r="K73" s="17"/>
      <c r="L73" s="18"/>
      <c r="M73" s="19"/>
    </row>
    <row r="74" spans="1:13" ht="15" thickBot="1" x14ac:dyDescent="0.35">
      <c r="B74" s="21"/>
      <c r="C74" s="21"/>
      <c r="D74" s="21"/>
      <c r="E74" s="21"/>
      <c r="F74" s="21"/>
      <c r="G74" s="21"/>
      <c r="H74" s="21"/>
      <c r="I74" s="21"/>
      <c r="J74" s="21"/>
      <c r="K74" s="1"/>
      <c r="L74" s="1"/>
      <c r="M74" s="1"/>
    </row>
    <row r="75" spans="1:13" ht="29.4" thickBot="1" x14ac:dyDescent="0.35">
      <c r="A75" s="60" t="str">
        <f>"Les ennemis de type 1 (" &amp; SUM(L76:L86)*100&amp; "%)"</f>
        <v>Les ennemis de type 1 (10%)</v>
      </c>
      <c r="B75" s="61"/>
      <c r="C75" s="61"/>
      <c r="D75" s="61"/>
      <c r="E75" s="61"/>
      <c r="F75" s="61"/>
      <c r="G75" s="61"/>
      <c r="H75" s="61"/>
      <c r="I75" s="61"/>
      <c r="J75" s="2"/>
      <c r="K75" s="4" t="s">
        <v>1</v>
      </c>
      <c r="L75" s="5" t="s">
        <v>2</v>
      </c>
      <c r="M75" s="6" t="s">
        <v>3</v>
      </c>
    </row>
    <row r="76" spans="1:13" x14ac:dyDescent="0.3">
      <c r="A76" s="20" t="s">
        <v>22</v>
      </c>
      <c r="B76" s="43"/>
      <c r="C76" s="43"/>
      <c r="D76" s="43"/>
      <c r="E76" s="43"/>
      <c r="F76" s="43"/>
      <c r="G76" s="43"/>
      <c r="H76" s="43"/>
      <c r="I76" s="43"/>
      <c r="J76" s="43"/>
      <c r="K76" s="7"/>
      <c r="L76" s="8"/>
      <c r="M76" s="13"/>
    </row>
    <row r="77" spans="1:13" x14ac:dyDescent="0.3">
      <c r="A77" s="20"/>
      <c r="B77" s="62" t="s">
        <v>23</v>
      </c>
      <c r="C77" s="62"/>
      <c r="D77" s="62"/>
      <c r="E77" s="62"/>
      <c r="F77" s="62"/>
      <c r="G77" s="62"/>
      <c r="H77" s="62"/>
      <c r="I77" s="62"/>
      <c r="J77" s="62"/>
      <c r="K77" s="63">
        <v>1</v>
      </c>
      <c r="L77" s="64">
        <v>0.1</v>
      </c>
      <c r="M77" s="65">
        <f>L77*K77</f>
        <v>0.1</v>
      </c>
    </row>
    <row r="78" spans="1:13" x14ac:dyDescent="0.3">
      <c r="A78" s="20"/>
      <c r="B78" s="62" t="s">
        <v>53</v>
      </c>
      <c r="C78" s="62"/>
      <c r="D78" s="62"/>
      <c r="E78" s="62"/>
      <c r="F78" s="62"/>
      <c r="G78" s="62"/>
      <c r="H78" s="62"/>
      <c r="I78" s="62"/>
      <c r="J78" s="62"/>
      <c r="K78" s="63"/>
      <c r="L78" s="64"/>
      <c r="M78" s="65"/>
    </row>
    <row r="79" spans="1:13" x14ac:dyDescent="0.3">
      <c r="A79" s="20"/>
      <c r="B79" s="50" t="s">
        <v>54</v>
      </c>
      <c r="C79" s="50"/>
      <c r="D79" s="50"/>
      <c r="E79" s="50"/>
      <c r="F79" s="50"/>
      <c r="G79" s="50"/>
      <c r="H79" s="50"/>
      <c r="I79" s="50"/>
      <c r="J79" s="50"/>
      <c r="K79" s="63"/>
      <c r="L79" s="64"/>
      <c r="M79" s="65"/>
    </row>
    <row r="80" spans="1:13" x14ac:dyDescent="0.3">
      <c r="A80" s="20"/>
      <c r="B80" s="50" t="s">
        <v>55</v>
      </c>
      <c r="C80" s="50"/>
      <c r="D80" s="50"/>
      <c r="E80" s="50"/>
      <c r="F80" s="50"/>
      <c r="G80" s="50"/>
      <c r="H80" s="50"/>
      <c r="I80" s="50"/>
      <c r="J80" s="50"/>
      <c r="K80" s="63"/>
      <c r="L80" s="64"/>
      <c r="M80" s="65"/>
    </row>
    <row r="81" spans="1:13" x14ac:dyDescent="0.3">
      <c r="A81" s="10"/>
      <c r="B81" s="50" t="s">
        <v>56</v>
      </c>
      <c r="C81" s="50"/>
      <c r="D81" s="50"/>
      <c r="E81" s="50"/>
      <c r="F81" s="50"/>
      <c r="G81" s="50"/>
      <c r="H81" s="50"/>
      <c r="I81" s="50"/>
      <c r="J81" s="50"/>
      <c r="K81" s="63"/>
      <c r="L81" s="64"/>
      <c r="M81" s="65"/>
    </row>
    <row r="82" spans="1:13" x14ac:dyDescent="0.3">
      <c r="A82" s="10"/>
      <c r="B82" s="50" t="s">
        <v>65</v>
      </c>
      <c r="C82" s="50"/>
      <c r="D82" s="50"/>
      <c r="E82" s="50"/>
      <c r="F82" s="50"/>
      <c r="G82" s="50"/>
      <c r="H82" s="50"/>
      <c r="I82" s="50"/>
      <c r="J82" s="50"/>
      <c r="K82" s="63"/>
      <c r="L82" s="64"/>
      <c r="M82" s="65"/>
    </row>
    <row r="83" spans="1:13" x14ac:dyDescent="0.3">
      <c r="A83" s="10"/>
      <c r="B83" s="50"/>
      <c r="C83" s="50"/>
      <c r="D83" s="50"/>
      <c r="E83" s="50"/>
      <c r="F83" s="50"/>
      <c r="G83" s="50"/>
      <c r="H83" s="50"/>
      <c r="I83" s="50"/>
      <c r="J83" s="50"/>
      <c r="K83" s="63"/>
      <c r="L83" s="64"/>
      <c r="M83" s="65"/>
    </row>
    <row r="84" spans="1:13" x14ac:dyDescent="0.3">
      <c r="A84" s="10"/>
      <c r="B84" s="50" t="s">
        <v>11</v>
      </c>
      <c r="C84" s="50"/>
      <c r="D84" s="50"/>
      <c r="E84" s="50"/>
      <c r="F84" s="50"/>
      <c r="G84" s="50"/>
      <c r="H84" s="50"/>
      <c r="I84" s="50"/>
      <c r="J84" s="50"/>
      <c r="K84" s="47"/>
      <c r="L84" s="42"/>
      <c r="M84" s="48"/>
    </row>
    <row r="85" spans="1:13" x14ac:dyDescent="0.3">
      <c r="A85" s="10"/>
      <c r="B85" s="12" t="s">
        <v>4</v>
      </c>
      <c r="C85" s="43"/>
      <c r="D85" s="43"/>
      <c r="E85" s="43"/>
      <c r="F85" s="43"/>
      <c r="G85" s="43"/>
      <c r="H85" s="43"/>
      <c r="I85" s="43"/>
      <c r="J85" s="43"/>
      <c r="K85" s="7"/>
      <c r="L85" s="8"/>
      <c r="M85" s="13"/>
    </row>
    <row r="86" spans="1:13" ht="27" customHeight="1" x14ac:dyDescent="0.3">
      <c r="A86" s="14"/>
      <c r="B86" s="66"/>
      <c r="C86" s="66"/>
      <c r="D86" s="66"/>
      <c r="E86" s="66"/>
      <c r="F86" s="66"/>
      <c r="G86" s="66"/>
      <c r="H86" s="66"/>
      <c r="I86" s="66"/>
      <c r="J86" s="66"/>
      <c r="K86" s="7"/>
      <c r="L86" s="8"/>
      <c r="M86" s="9"/>
    </row>
    <row r="87" spans="1:13" ht="15" thickBot="1" x14ac:dyDescent="0.35">
      <c r="A87" s="15"/>
      <c r="B87" s="16"/>
      <c r="C87" s="16"/>
      <c r="D87" s="16"/>
      <c r="E87" s="16"/>
      <c r="F87" s="16"/>
      <c r="G87" s="16"/>
      <c r="H87" s="16"/>
      <c r="I87" s="16"/>
      <c r="J87" s="16"/>
      <c r="K87" s="17"/>
      <c r="L87" s="18"/>
      <c r="M87" s="19"/>
    </row>
    <row r="88" spans="1:13" ht="15" thickBot="1" x14ac:dyDescent="0.35">
      <c r="B88" s="21"/>
      <c r="C88" s="21"/>
      <c r="D88" s="21"/>
      <c r="E88" s="21"/>
      <c r="F88" s="21"/>
      <c r="G88" s="21"/>
      <c r="H88" s="21"/>
      <c r="I88" s="21"/>
      <c r="J88" s="21"/>
      <c r="K88" s="1"/>
      <c r="L88" s="1"/>
      <c r="M88" s="1"/>
    </row>
    <row r="89" spans="1:13" ht="29.4" thickBot="1" x14ac:dyDescent="0.35">
      <c r="A89" s="60" t="str">
        <f>"Les ennemis de type 2 (" &amp; SUM(L90:L100)*100&amp; "%)"</f>
        <v>Les ennemis de type 2 (10%)</v>
      </c>
      <c r="B89" s="61"/>
      <c r="C89" s="61"/>
      <c r="D89" s="61"/>
      <c r="E89" s="61"/>
      <c r="F89" s="61"/>
      <c r="G89" s="61"/>
      <c r="H89" s="61"/>
      <c r="I89" s="61"/>
      <c r="J89" s="2"/>
      <c r="K89" s="4" t="s">
        <v>1</v>
      </c>
      <c r="L89" s="5" t="s">
        <v>2</v>
      </c>
      <c r="M89" s="6" t="s">
        <v>3</v>
      </c>
    </row>
    <row r="90" spans="1:13" x14ac:dyDescent="0.3">
      <c r="A90" s="20" t="s">
        <v>22</v>
      </c>
      <c r="B90" s="43"/>
      <c r="C90" s="43"/>
      <c r="D90" s="43"/>
      <c r="E90" s="43"/>
      <c r="F90" s="43"/>
      <c r="G90" s="43"/>
      <c r="H90" s="43"/>
      <c r="I90" s="43"/>
      <c r="J90" s="43"/>
      <c r="K90" s="7"/>
      <c r="L90" s="8"/>
      <c r="M90" s="13"/>
    </row>
    <row r="91" spans="1:13" x14ac:dyDescent="0.3">
      <c r="A91" s="20"/>
      <c r="B91" s="62" t="s">
        <v>62</v>
      </c>
      <c r="C91" s="62"/>
      <c r="D91" s="62"/>
      <c r="E91" s="62"/>
      <c r="F91" s="62"/>
      <c r="G91" s="62"/>
      <c r="H91" s="62"/>
      <c r="I91" s="62"/>
      <c r="J91" s="62"/>
      <c r="K91" s="63">
        <v>1</v>
      </c>
      <c r="L91" s="64">
        <v>0.1</v>
      </c>
      <c r="M91" s="65">
        <f>L91*K91</f>
        <v>0.1</v>
      </c>
    </row>
    <row r="92" spans="1:13" x14ac:dyDescent="0.3">
      <c r="A92" s="20"/>
      <c r="B92" s="50" t="s">
        <v>63</v>
      </c>
      <c r="C92" s="50"/>
      <c r="D92" s="50"/>
      <c r="E92" s="50"/>
      <c r="F92" s="50"/>
      <c r="G92" s="50"/>
      <c r="H92" s="50"/>
      <c r="I92" s="50"/>
      <c r="J92" s="50"/>
      <c r="K92" s="63"/>
      <c r="L92" s="64"/>
      <c r="M92" s="65"/>
    </row>
    <row r="93" spans="1:13" x14ac:dyDescent="0.3">
      <c r="A93" s="20"/>
      <c r="B93" s="50" t="s">
        <v>64</v>
      </c>
      <c r="C93" s="50"/>
      <c r="D93" s="50"/>
      <c r="E93" s="50"/>
      <c r="F93" s="50"/>
      <c r="G93" s="50"/>
      <c r="H93" s="50"/>
      <c r="I93" s="50"/>
      <c r="J93" s="50"/>
      <c r="K93" s="63"/>
      <c r="L93" s="64"/>
      <c r="M93" s="65"/>
    </row>
    <row r="94" spans="1:13" x14ac:dyDescent="0.3">
      <c r="A94" s="20"/>
      <c r="B94" s="50" t="s">
        <v>66</v>
      </c>
      <c r="C94" s="50"/>
      <c r="D94" s="50"/>
      <c r="E94" s="50"/>
      <c r="F94" s="50"/>
      <c r="G94" s="50"/>
      <c r="H94" s="50"/>
      <c r="I94" s="50"/>
      <c r="J94" s="50"/>
      <c r="K94" s="63"/>
      <c r="L94" s="64"/>
      <c r="M94" s="65"/>
    </row>
    <row r="95" spans="1:13" x14ac:dyDescent="0.3">
      <c r="A95" s="20"/>
      <c r="B95" s="50" t="s">
        <v>67</v>
      </c>
      <c r="C95" s="50"/>
      <c r="D95" s="50"/>
      <c r="E95" s="50"/>
      <c r="F95" s="50"/>
      <c r="G95" s="50"/>
      <c r="H95" s="50"/>
      <c r="I95" s="50"/>
      <c r="J95" s="50"/>
      <c r="K95" s="63"/>
      <c r="L95" s="64"/>
      <c r="M95" s="65"/>
    </row>
    <row r="96" spans="1:13" x14ac:dyDescent="0.3">
      <c r="A96" s="20"/>
      <c r="B96" s="50" t="s">
        <v>68</v>
      </c>
      <c r="C96" s="50"/>
      <c r="D96" s="50"/>
      <c r="E96" s="50"/>
      <c r="F96" s="50"/>
      <c r="G96" s="50"/>
      <c r="H96" s="50"/>
      <c r="I96" s="50"/>
      <c r="J96" s="50"/>
      <c r="K96" s="63"/>
      <c r="L96" s="64"/>
      <c r="M96" s="65"/>
    </row>
    <row r="97" spans="1:13" ht="15" customHeight="1" x14ac:dyDescent="0.3">
      <c r="A97" s="20"/>
      <c r="B97" s="50" t="s">
        <v>72</v>
      </c>
      <c r="C97" s="50"/>
      <c r="D97" s="50"/>
      <c r="E97" s="50"/>
      <c r="F97" s="50"/>
      <c r="G97" s="50"/>
      <c r="H97" s="50"/>
      <c r="I97" s="50"/>
      <c r="J97" s="50"/>
      <c r="K97" s="63"/>
      <c r="L97" s="64"/>
      <c r="M97" s="65"/>
    </row>
    <row r="98" spans="1:13" ht="14.4" customHeight="1" x14ac:dyDescent="0.3">
      <c r="A98" s="20"/>
      <c r="B98" s="50" t="s">
        <v>11</v>
      </c>
      <c r="C98" s="50"/>
      <c r="D98" s="50"/>
      <c r="E98" s="50"/>
      <c r="F98" s="50"/>
      <c r="G98" s="50"/>
      <c r="H98" s="50"/>
      <c r="I98" s="50"/>
      <c r="J98" s="50"/>
      <c r="K98" s="47"/>
      <c r="L98" s="42"/>
      <c r="M98" s="48"/>
    </row>
    <row r="99" spans="1:13" x14ac:dyDescent="0.3">
      <c r="A99" s="10"/>
      <c r="B99" s="12" t="s">
        <v>4</v>
      </c>
      <c r="C99" s="43"/>
      <c r="D99" s="43"/>
      <c r="E99" s="43"/>
      <c r="F99" s="43"/>
      <c r="G99" s="43"/>
      <c r="H99" s="43"/>
      <c r="I99" s="43"/>
      <c r="J99" s="43"/>
      <c r="K99" s="7"/>
      <c r="L99" s="8"/>
      <c r="M99" s="13"/>
    </row>
    <row r="100" spans="1:13" ht="27" customHeight="1" x14ac:dyDescent="0.3">
      <c r="A100" s="14"/>
      <c r="B100" s="66"/>
      <c r="C100" s="66"/>
      <c r="D100" s="66"/>
      <c r="E100" s="66"/>
      <c r="F100" s="66"/>
      <c r="G100" s="66"/>
      <c r="H100" s="66"/>
      <c r="I100" s="66"/>
      <c r="J100" s="66"/>
      <c r="K100" s="7"/>
      <c r="L100" s="8"/>
      <c r="M100" s="9"/>
    </row>
    <row r="101" spans="1:13" ht="15" thickBot="1" x14ac:dyDescent="0.35">
      <c r="A101" s="15"/>
      <c r="B101" s="16"/>
      <c r="C101" s="16"/>
      <c r="D101" s="16"/>
      <c r="E101" s="16"/>
      <c r="F101" s="16"/>
      <c r="G101" s="16"/>
      <c r="H101" s="16"/>
      <c r="I101" s="16"/>
      <c r="J101" s="16"/>
      <c r="K101" s="17"/>
      <c r="L101" s="18"/>
      <c r="M101" s="19"/>
    </row>
    <row r="102" spans="1:13" ht="27" customHeight="1" thickBot="1" x14ac:dyDescent="0.35">
      <c r="A102" s="14"/>
      <c r="B102" s="33"/>
      <c r="C102" s="33"/>
      <c r="D102" s="33"/>
      <c r="E102" s="33"/>
      <c r="F102" s="33"/>
      <c r="G102" s="33"/>
      <c r="H102" s="33"/>
      <c r="I102" s="33"/>
      <c r="J102" s="33"/>
      <c r="K102" s="34"/>
      <c r="L102" s="11"/>
      <c r="M102" s="35"/>
    </row>
    <row r="103" spans="1:13" ht="29.4" thickBot="1" x14ac:dyDescent="0.35">
      <c r="A103" s="60" t="str">
        <f>"Les projectiles (" &amp; SUM(L104:L112)*100&amp; "%)"</f>
        <v>Les projectiles (10%)</v>
      </c>
      <c r="B103" s="61"/>
      <c r="C103" s="61"/>
      <c r="D103" s="61"/>
      <c r="E103" s="61"/>
      <c r="F103" s="61"/>
      <c r="G103" s="61"/>
      <c r="H103" s="61"/>
      <c r="I103" s="61"/>
      <c r="J103" s="2"/>
      <c r="K103" s="4" t="s">
        <v>1</v>
      </c>
      <c r="L103" s="5" t="s">
        <v>2</v>
      </c>
      <c r="M103" s="6" t="s">
        <v>3</v>
      </c>
    </row>
    <row r="104" spans="1:13" x14ac:dyDescent="0.3">
      <c r="A104" s="20" t="s">
        <v>22</v>
      </c>
      <c r="B104" s="43"/>
      <c r="C104" s="43"/>
      <c r="D104" s="43"/>
      <c r="E104" s="43"/>
      <c r="F104" s="43"/>
      <c r="G104" s="43"/>
      <c r="H104" s="43"/>
      <c r="I104" s="43"/>
      <c r="J104" s="43"/>
      <c r="K104" s="7"/>
      <c r="L104" s="49"/>
      <c r="M104" s="13"/>
    </row>
    <row r="105" spans="1:13" x14ac:dyDescent="0.3">
      <c r="A105" s="20"/>
      <c r="B105" s="62" t="s">
        <v>24</v>
      </c>
      <c r="C105" s="62"/>
      <c r="D105" s="62"/>
      <c r="E105" s="62"/>
      <c r="F105" s="62"/>
      <c r="G105" s="62"/>
      <c r="H105" s="62"/>
      <c r="I105" s="62"/>
      <c r="J105" s="62"/>
      <c r="K105" s="63">
        <v>1</v>
      </c>
      <c r="L105" s="64">
        <v>0.1</v>
      </c>
      <c r="M105" s="65">
        <f>L104*K105</f>
        <v>0</v>
      </c>
    </row>
    <row r="106" spans="1:13" x14ac:dyDescent="0.3">
      <c r="A106" s="20"/>
      <c r="B106" s="62" t="s">
        <v>74</v>
      </c>
      <c r="C106" s="62"/>
      <c r="D106" s="62"/>
      <c r="E106" s="62"/>
      <c r="F106" s="62"/>
      <c r="G106" s="62"/>
      <c r="H106" s="62"/>
      <c r="I106" s="62"/>
      <c r="J106" s="62"/>
      <c r="K106" s="63"/>
      <c r="L106" s="64"/>
      <c r="M106" s="65"/>
    </row>
    <row r="107" spans="1:13" ht="14.4" customHeight="1" x14ac:dyDescent="0.3">
      <c r="A107" s="20"/>
      <c r="B107" s="50" t="s">
        <v>25</v>
      </c>
      <c r="C107" s="50"/>
      <c r="D107" s="50"/>
      <c r="E107" s="50"/>
      <c r="F107" s="50"/>
      <c r="G107" s="50"/>
      <c r="H107" s="50"/>
      <c r="I107" s="50"/>
      <c r="J107" s="50"/>
      <c r="K107" s="63"/>
      <c r="L107" s="64"/>
      <c r="M107" s="65"/>
    </row>
    <row r="108" spans="1:13" ht="14.4" customHeight="1" x14ac:dyDescent="0.3">
      <c r="A108" s="20"/>
      <c r="B108" s="50" t="s">
        <v>73</v>
      </c>
      <c r="C108" s="50"/>
      <c r="D108" s="50"/>
      <c r="E108" s="50"/>
      <c r="F108" s="50"/>
      <c r="G108" s="50"/>
      <c r="H108" s="50"/>
      <c r="I108" s="50"/>
      <c r="J108" s="50"/>
      <c r="K108" s="63"/>
      <c r="L108" s="64"/>
      <c r="M108" s="65"/>
    </row>
    <row r="109" spans="1:13" ht="14.4" customHeight="1" x14ac:dyDescent="0.3">
      <c r="A109" s="20"/>
      <c r="B109" s="50" t="s">
        <v>75</v>
      </c>
      <c r="C109" s="50"/>
      <c r="D109" s="50"/>
      <c r="E109" s="50"/>
      <c r="F109" s="50"/>
      <c r="G109" s="50"/>
      <c r="H109" s="50"/>
      <c r="I109" s="50"/>
      <c r="J109" s="50"/>
      <c r="K109" s="63"/>
      <c r="L109" s="64"/>
      <c r="M109" s="65"/>
    </row>
    <row r="110" spans="1:13" x14ac:dyDescent="0.3">
      <c r="A110" s="10"/>
      <c r="B110" s="50" t="s">
        <v>11</v>
      </c>
      <c r="C110" s="50"/>
      <c r="D110" s="50"/>
      <c r="E110" s="50"/>
      <c r="F110" s="50"/>
      <c r="G110" s="50"/>
      <c r="H110" s="50"/>
      <c r="I110" s="50"/>
      <c r="J110" s="50"/>
      <c r="K110" s="47"/>
      <c r="L110" s="42"/>
      <c r="M110" s="48"/>
    </row>
    <row r="111" spans="1:13" x14ac:dyDescent="0.3">
      <c r="A111" s="10"/>
      <c r="B111" s="12" t="s">
        <v>4</v>
      </c>
      <c r="C111" s="43"/>
      <c r="D111" s="43"/>
      <c r="E111" s="43"/>
      <c r="F111" s="43"/>
      <c r="G111" s="43"/>
      <c r="H111" s="43"/>
      <c r="I111" s="43"/>
      <c r="J111" s="43"/>
      <c r="K111" s="7"/>
      <c r="L111" s="8"/>
      <c r="M111" s="13"/>
    </row>
    <row r="112" spans="1:13" ht="27" customHeight="1" x14ac:dyDescent="0.3">
      <c r="A112" s="14"/>
      <c r="B112" s="66"/>
      <c r="C112" s="66"/>
      <c r="D112" s="66"/>
      <c r="E112" s="66"/>
      <c r="F112" s="66"/>
      <c r="G112" s="66"/>
      <c r="H112" s="66"/>
      <c r="I112" s="66"/>
      <c r="J112" s="66"/>
      <c r="K112" s="7"/>
      <c r="L112" s="8"/>
      <c r="M112" s="9"/>
    </row>
    <row r="113" spans="1:13" ht="15" thickBot="1" x14ac:dyDescent="0.35">
      <c r="A113" s="15"/>
      <c r="B113" s="16"/>
      <c r="C113" s="16"/>
      <c r="D113" s="16"/>
      <c r="E113" s="16"/>
      <c r="F113" s="16"/>
      <c r="G113" s="16"/>
      <c r="H113" s="16"/>
      <c r="I113" s="16"/>
      <c r="J113" s="16"/>
      <c r="K113" s="17"/>
      <c r="L113" s="18"/>
      <c r="M113" s="19"/>
    </row>
    <row r="114" spans="1:13" x14ac:dyDescent="0.3">
      <c r="B114" s="21"/>
      <c r="C114" s="21"/>
      <c r="D114" s="21"/>
      <c r="E114" s="21"/>
      <c r="F114" s="21"/>
      <c r="G114" s="21"/>
      <c r="H114" s="21"/>
      <c r="I114" s="21"/>
      <c r="J114" s="21"/>
      <c r="K114" s="1"/>
      <c r="L114" s="1"/>
      <c r="M114" s="1"/>
    </row>
    <row r="115" spans="1:13" ht="15" thickBot="1" x14ac:dyDescent="0.35">
      <c r="B115" s="21"/>
      <c r="C115" s="21"/>
      <c r="D115" s="21"/>
      <c r="E115" s="21"/>
      <c r="F115" s="21"/>
      <c r="G115" s="21"/>
      <c r="H115" s="21"/>
      <c r="I115" s="21"/>
      <c r="J115" s="21"/>
      <c r="K115" s="1"/>
      <c r="L115" s="1"/>
      <c r="M115" s="1"/>
    </row>
    <row r="116" spans="1:13" ht="29.4" thickBot="1" x14ac:dyDescent="0.35">
      <c r="A116" s="60" t="str">
        <f>"Les bonus (" &amp; SUM(L117:L126)*100&amp; "%)"</f>
        <v>Les bonus (10%)</v>
      </c>
      <c r="B116" s="61"/>
      <c r="C116" s="61"/>
      <c r="D116" s="61"/>
      <c r="E116" s="61"/>
      <c r="F116" s="61"/>
      <c r="G116" s="61"/>
      <c r="H116" s="61"/>
      <c r="I116" s="61"/>
      <c r="J116" s="2"/>
      <c r="K116" s="4" t="s">
        <v>1</v>
      </c>
      <c r="L116" s="5" t="s">
        <v>2</v>
      </c>
      <c r="M116" s="6" t="s">
        <v>3</v>
      </c>
    </row>
    <row r="117" spans="1:13" x14ac:dyDescent="0.3">
      <c r="A117" s="20" t="s">
        <v>22</v>
      </c>
      <c r="B117" s="43"/>
      <c r="C117" s="43"/>
      <c r="D117" s="43"/>
      <c r="E117" s="43"/>
      <c r="F117" s="43"/>
      <c r="G117" s="43"/>
      <c r="H117" s="43"/>
      <c r="I117" s="43"/>
      <c r="J117" s="43"/>
      <c r="K117" s="7"/>
      <c r="L117" s="8"/>
      <c r="M117" s="13"/>
    </row>
    <row r="118" spans="1:13" x14ac:dyDescent="0.3">
      <c r="A118" s="20"/>
      <c r="B118" s="62" t="s">
        <v>29</v>
      </c>
      <c r="C118" s="62"/>
      <c r="D118" s="62"/>
      <c r="E118" s="62"/>
      <c r="F118" s="62"/>
      <c r="G118" s="62"/>
      <c r="H118" s="62"/>
      <c r="I118" s="62"/>
      <c r="J118" s="62"/>
      <c r="K118" s="63">
        <v>1</v>
      </c>
      <c r="L118" s="64">
        <v>0.1</v>
      </c>
      <c r="M118" s="65">
        <f>L118*K118</f>
        <v>0.1</v>
      </c>
    </row>
    <row r="119" spans="1:13" x14ac:dyDescent="0.3">
      <c r="A119" s="20"/>
      <c r="B119" s="62" t="s">
        <v>76</v>
      </c>
      <c r="C119" s="62"/>
      <c r="D119" s="62"/>
      <c r="E119" s="62"/>
      <c r="F119" s="62"/>
      <c r="G119" s="62"/>
      <c r="H119" s="62"/>
      <c r="I119" s="62"/>
      <c r="J119" s="62"/>
      <c r="K119" s="63"/>
      <c r="L119" s="64"/>
      <c r="M119" s="65"/>
    </row>
    <row r="120" spans="1:13" ht="14.4" customHeight="1" x14ac:dyDescent="0.3">
      <c r="A120" s="20"/>
      <c r="B120" s="62" t="s">
        <v>30</v>
      </c>
      <c r="C120" s="62"/>
      <c r="D120" s="62"/>
      <c r="E120" s="62"/>
      <c r="F120" s="62"/>
      <c r="G120" s="62"/>
      <c r="H120" s="62"/>
      <c r="I120" s="62"/>
      <c r="J120" s="62"/>
      <c r="K120" s="63"/>
      <c r="L120" s="64"/>
      <c r="M120" s="65"/>
    </row>
    <row r="121" spans="1:13" ht="14.4" customHeight="1" x14ac:dyDescent="0.3">
      <c r="A121" s="20"/>
      <c r="B121" s="50" t="s">
        <v>78</v>
      </c>
      <c r="C121" s="50"/>
      <c r="D121" s="50"/>
      <c r="E121" s="50"/>
      <c r="F121" s="50"/>
      <c r="G121" s="50"/>
      <c r="H121" s="50"/>
      <c r="I121" s="50"/>
      <c r="J121" s="50"/>
      <c r="K121" s="63"/>
      <c r="L121" s="64"/>
      <c r="M121" s="65"/>
    </row>
    <row r="122" spans="1:13" ht="14.4" customHeight="1" x14ac:dyDescent="0.3">
      <c r="A122" s="20"/>
      <c r="B122" s="50" t="s">
        <v>79</v>
      </c>
      <c r="C122" s="50"/>
      <c r="D122" s="50"/>
      <c r="E122" s="50"/>
      <c r="F122" s="50"/>
      <c r="G122" s="50"/>
      <c r="H122" s="50"/>
      <c r="I122" s="50"/>
      <c r="J122" s="50"/>
      <c r="K122" s="63"/>
      <c r="L122" s="64"/>
      <c r="M122" s="65"/>
    </row>
    <row r="123" spans="1:13" ht="14.4" customHeight="1" x14ac:dyDescent="0.3">
      <c r="A123" s="20"/>
      <c r="B123" s="50" t="s">
        <v>31</v>
      </c>
      <c r="C123" s="50"/>
      <c r="D123" s="50"/>
      <c r="E123" s="50"/>
      <c r="F123" s="50"/>
      <c r="G123" s="50"/>
      <c r="H123" s="50"/>
      <c r="I123" s="50"/>
      <c r="J123" s="50"/>
      <c r="K123" s="63"/>
      <c r="L123" s="64"/>
      <c r="M123" s="65"/>
    </row>
    <row r="124" spans="1:13" x14ac:dyDescent="0.3">
      <c r="A124" s="10"/>
      <c r="B124" s="50" t="s">
        <v>11</v>
      </c>
      <c r="C124" s="50"/>
      <c r="D124" s="50"/>
      <c r="E124" s="50"/>
      <c r="F124" s="50"/>
      <c r="G124" s="50"/>
      <c r="H124" s="50"/>
      <c r="I124" s="50"/>
      <c r="J124" s="50"/>
      <c r="K124" s="47"/>
      <c r="L124" s="42"/>
      <c r="M124" s="48"/>
    </row>
    <row r="125" spans="1:13" x14ac:dyDescent="0.3">
      <c r="A125" s="10"/>
      <c r="B125" s="12" t="s">
        <v>4</v>
      </c>
      <c r="C125" s="43"/>
      <c r="D125" s="43"/>
      <c r="E125" s="43"/>
      <c r="F125" s="43"/>
      <c r="G125" s="43"/>
      <c r="H125" s="43"/>
      <c r="I125" s="43"/>
      <c r="J125" s="43"/>
      <c r="K125" s="7"/>
      <c r="L125" s="8"/>
      <c r="M125" s="13"/>
    </row>
    <row r="126" spans="1:13" ht="27" customHeight="1" x14ac:dyDescent="0.3">
      <c r="A126" s="14"/>
      <c r="B126" s="66"/>
      <c r="C126" s="66"/>
      <c r="D126" s="66"/>
      <c r="E126" s="66"/>
      <c r="F126" s="66"/>
      <c r="G126" s="66"/>
      <c r="H126" s="66"/>
      <c r="I126" s="66"/>
      <c r="J126" s="66"/>
      <c r="K126" s="7"/>
      <c r="L126" s="8"/>
      <c r="M126" s="9"/>
    </row>
    <row r="127" spans="1:13" ht="15" thickBot="1" x14ac:dyDescent="0.35">
      <c r="A127" s="15"/>
      <c r="B127" s="16"/>
      <c r="C127" s="16"/>
      <c r="D127" s="16"/>
      <c r="E127" s="16"/>
      <c r="F127" s="16"/>
      <c r="G127" s="16"/>
      <c r="H127" s="16"/>
      <c r="I127" s="16"/>
      <c r="J127" s="16"/>
      <c r="K127" s="17"/>
      <c r="L127" s="18"/>
      <c r="M127" s="19"/>
    </row>
    <row r="128" spans="1:13" ht="27" customHeight="1" thickBot="1" x14ac:dyDescent="0.35">
      <c r="A128" s="14"/>
      <c r="B128" s="33"/>
      <c r="C128" s="33"/>
      <c r="D128" s="33"/>
      <c r="E128" s="33"/>
      <c r="F128" s="33"/>
      <c r="G128" s="33"/>
      <c r="H128" s="33"/>
      <c r="I128" s="33"/>
      <c r="J128" s="33"/>
      <c r="K128" s="34"/>
      <c r="L128" s="11"/>
      <c r="M128" s="35"/>
    </row>
    <row r="129" spans="1:13" ht="29.4" thickBot="1" x14ac:dyDescent="0.35">
      <c r="A129" s="60" t="str">
        <f>"Le leaderboard (" &amp; SUM(L130:L139)*100&amp; "%)"</f>
        <v>Le leaderboard (15%)</v>
      </c>
      <c r="B129" s="61"/>
      <c r="C129" s="61"/>
      <c r="D129" s="61"/>
      <c r="E129" s="61"/>
      <c r="F129" s="61"/>
      <c r="G129" s="61"/>
      <c r="H129" s="61"/>
      <c r="I129" s="61"/>
      <c r="J129" s="2"/>
      <c r="K129" s="4" t="s">
        <v>1</v>
      </c>
      <c r="L129" s="5" t="s">
        <v>2</v>
      </c>
      <c r="M129" s="6" t="s">
        <v>3</v>
      </c>
    </row>
    <row r="130" spans="1:13" x14ac:dyDescent="0.3">
      <c r="A130" s="20" t="s">
        <v>22</v>
      </c>
      <c r="B130" s="43"/>
      <c r="C130" s="43"/>
      <c r="D130" s="43"/>
      <c r="E130" s="43"/>
      <c r="F130" s="43"/>
      <c r="G130" s="43"/>
      <c r="H130" s="43"/>
      <c r="I130" s="43"/>
      <c r="J130" s="43"/>
      <c r="K130" s="7"/>
      <c r="L130" s="8"/>
      <c r="M130" s="13"/>
    </row>
    <row r="131" spans="1:13" x14ac:dyDescent="0.3">
      <c r="A131" s="20"/>
      <c r="B131" s="62" t="s">
        <v>84</v>
      </c>
      <c r="C131" s="62"/>
      <c r="D131" s="62"/>
      <c r="E131" s="62"/>
      <c r="F131" s="62"/>
      <c r="G131" s="62"/>
      <c r="H131" s="62"/>
      <c r="I131" s="62"/>
      <c r="J131" s="62"/>
      <c r="K131" s="63">
        <v>1</v>
      </c>
      <c r="L131" s="64">
        <v>0.15</v>
      </c>
      <c r="M131" s="65">
        <f>L131*K131</f>
        <v>0.15</v>
      </c>
    </row>
    <row r="132" spans="1:13" x14ac:dyDescent="0.3">
      <c r="A132" s="20"/>
      <c r="B132" s="62" t="s">
        <v>85</v>
      </c>
      <c r="C132" s="62"/>
      <c r="D132" s="62"/>
      <c r="E132" s="62"/>
      <c r="F132" s="62"/>
      <c r="G132" s="62"/>
      <c r="H132" s="62"/>
      <c r="I132" s="62"/>
      <c r="J132" s="62"/>
      <c r="K132" s="63"/>
      <c r="L132" s="64"/>
      <c r="M132" s="65"/>
    </row>
    <row r="133" spans="1:13" ht="14.4" customHeight="1" x14ac:dyDescent="0.3">
      <c r="A133" s="20"/>
      <c r="B133" s="50" t="s">
        <v>86</v>
      </c>
      <c r="C133" s="50"/>
      <c r="D133" s="50"/>
      <c r="E133" s="50"/>
      <c r="F133" s="50"/>
      <c r="G133" s="50"/>
      <c r="H133" s="50"/>
      <c r="I133" s="50"/>
      <c r="J133" s="50"/>
      <c r="K133" s="63"/>
      <c r="L133" s="64"/>
      <c r="M133" s="65"/>
    </row>
    <row r="134" spans="1:13" ht="14.4" customHeight="1" x14ac:dyDescent="0.3">
      <c r="A134" s="20"/>
      <c r="B134" s="50" t="s">
        <v>87</v>
      </c>
      <c r="C134" s="50"/>
      <c r="D134" s="50"/>
      <c r="E134" s="50"/>
      <c r="F134" s="50"/>
      <c r="G134" s="50"/>
      <c r="H134" s="50"/>
      <c r="I134" s="50"/>
      <c r="J134" s="50"/>
      <c r="K134" s="63"/>
      <c r="L134" s="64"/>
      <c r="M134" s="65"/>
    </row>
    <row r="135" spans="1:13" ht="14.4" customHeight="1" x14ac:dyDescent="0.3">
      <c r="A135" s="20"/>
      <c r="B135" s="67" t="s">
        <v>88</v>
      </c>
      <c r="C135" s="50"/>
      <c r="D135" s="50"/>
      <c r="E135" s="50"/>
      <c r="F135" s="50"/>
      <c r="G135" s="50"/>
      <c r="H135" s="50"/>
      <c r="I135" s="50"/>
      <c r="J135" s="50"/>
      <c r="K135" s="63"/>
      <c r="L135" s="64"/>
      <c r="M135" s="65"/>
    </row>
    <row r="136" spans="1:13" ht="30" customHeight="1" x14ac:dyDescent="0.3">
      <c r="A136" s="20"/>
      <c r="B136" s="50" t="s">
        <v>89</v>
      </c>
      <c r="C136" s="50"/>
      <c r="D136" s="50"/>
      <c r="E136" s="50"/>
      <c r="F136" s="50"/>
      <c r="G136" s="50"/>
      <c r="H136" s="50"/>
      <c r="I136" s="50"/>
      <c r="J136" s="50"/>
      <c r="K136" s="63"/>
      <c r="L136" s="64"/>
      <c r="M136" s="65"/>
    </row>
    <row r="137" spans="1:13" x14ac:dyDescent="0.3">
      <c r="A137" s="10"/>
      <c r="B137" s="50" t="s">
        <v>11</v>
      </c>
      <c r="C137" s="50"/>
      <c r="D137" s="50"/>
      <c r="E137" s="50"/>
      <c r="F137" s="50"/>
      <c r="G137" s="50"/>
      <c r="H137" s="50"/>
      <c r="I137" s="50"/>
      <c r="J137" s="50"/>
      <c r="K137" s="47"/>
      <c r="L137" s="42"/>
      <c r="M137" s="48"/>
    </row>
    <row r="138" spans="1:13" x14ac:dyDescent="0.3">
      <c r="A138" s="10"/>
      <c r="B138" s="12" t="s">
        <v>4</v>
      </c>
      <c r="C138" s="43"/>
      <c r="D138" s="43"/>
      <c r="E138" s="43"/>
      <c r="F138" s="43"/>
      <c r="G138" s="43"/>
      <c r="H138" s="43"/>
      <c r="I138" s="43"/>
      <c r="J138" s="43"/>
      <c r="K138" s="7"/>
      <c r="L138" s="8"/>
      <c r="M138" s="13"/>
    </row>
    <row r="139" spans="1:13" ht="27" customHeight="1" x14ac:dyDescent="0.3">
      <c r="A139" s="14"/>
      <c r="B139" s="66"/>
      <c r="C139" s="66"/>
      <c r="D139" s="66"/>
      <c r="E139" s="66"/>
      <c r="F139" s="66"/>
      <c r="G139" s="66"/>
      <c r="H139" s="66"/>
      <c r="I139" s="66"/>
      <c r="J139" s="66"/>
      <c r="K139" s="7"/>
      <c r="L139" s="8"/>
      <c r="M139" s="9"/>
    </row>
    <row r="140" spans="1:13" ht="15" thickBot="1" x14ac:dyDescent="0.35">
      <c r="A140" s="15"/>
      <c r="B140" s="16"/>
      <c r="C140" s="16"/>
      <c r="D140" s="16"/>
      <c r="E140" s="16"/>
      <c r="F140" s="16"/>
      <c r="G140" s="16"/>
      <c r="H140" s="16"/>
      <c r="I140" s="16"/>
      <c r="J140" s="16"/>
      <c r="K140" s="17"/>
      <c r="L140" s="18"/>
      <c r="M140" s="19"/>
    </row>
    <row r="141" spans="1:13" ht="27" customHeight="1" thickBot="1" x14ac:dyDescent="0.35">
      <c r="A141" s="14"/>
      <c r="B141" s="33"/>
      <c r="C141" s="33"/>
      <c r="D141" s="33"/>
      <c r="E141" s="33"/>
      <c r="F141" s="33"/>
      <c r="G141" s="33"/>
      <c r="H141" s="33"/>
      <c r="I141" s="33"/>
      <c r="J141" s="33"/>
      <c r="K141" s="34"/>
      <c r="L141" s="11"/>
      <c r="M141" s="35"/>
    </row>
    <row r="142" spans="1:13" ht="27" customHeight="1" thickBot="1" x14ac:dyDescent="0.35">
      <c r="A142" s="72" t="str">
        <f>"Pénalités"</f>
        <v>Pénalités</v>
      </c>
      <c r="B142" s="73"/>
      <c r="C142" s="73"/>
      <c r="D142" s="73"/>
      <c r="E142" s="73"/>
      <c r="F142" s="73"/>
      <c r="G142" s="73"/>
      <c r="H142" s="73"/>
      <c r="I142" s="73"/>
      <c r="J142" s="22"/>
      <c r="K142" s="23" t="s">
        <v>1</v>
      </c>
      <c r="L142" s="3" t="s">
        <v>2</v>
      </c>
      <c r="M142" s="24" t="s">
        <v>3</v>
      </c>
    </row>
    <row r="143" spans="1:13" x14ac:dyDescent="0.3">
      <c r="A143" s="10"/>
      <c r="B143" s="62" t="s">
        <v>13</v>
      </c>
      <c r="C143" s="62"/>
      <c r="D143" s="62"/>
      <c r="E143" s="62"/>
      <c r="F143" s="62"/>
      <c r="G143" s="62"/>
      <c r="H143" s="62"/>
      <c r="I143" s="62"/>
      <c r="J143" s="62"/>
      <c r="K143" s="36">
        <v>0</v>
      </c>
      <c r="L143" s="37">
        <v>-0.05</v>
      </c>
      <c r="M143" s="38">
        <f>L143*K143</f>
        <v>0</v>
      </c>
    </row>
    <row r="144" spans="1:13" x14ac:dyDescent="0.3">
      <c r="A144" s="10"/>
      <c r="B144" s="62" t="s">
        <v>17</v>
      </c>
      <c r="C144" s="62"/>
      <c r="D144" s="62"/>
      <c r="E144" s="62"/>
      <c r="F144" s="62"/>
      <c r="G144" s="62"/>
      <c r="H144" s="62"/>
      <c r="I144" s="62"/>
      <c r="J144" s="62"/>
      <c r="K144" s="36">
        <v>0</v>
      </c>
      <c r="L144" s="37">
        <v>-0.05</v>
      </c>
      <c r="M144" s="38">
        <f>L144*K144</f>
        <v>0</v>
      </c>
    </row>
    <row r="145" spans="1:13" x14ac:dyDescent="0.3">
      <c r="A145" s="10"/>
      <c r="B145" s="62" t="s">
        <v>28</v>
      </c>
      <c r="C145" s="62"/>
      <c r="D145" s="62"/>
      <c r="E145" s="62"/>
      <c r="F145" s="62"/>
      <c r="G145" s="62"/>
      <c r="H145" s="62"/>
      <c r="I145" s="62"/>
      <c r="J145" s="62"/>
      <c r="K145" s="36">
        <v>0</v>
      </c>
      <c r="L145" s="37">
        <v>-0.05</v>
      </c>
      <c r="M145" s="38">
        <f>L145*K145</f>
        <v>0</v>
      </c>
    </row>
    <row r="146" spans="1:13" x14ac:dyDescent="0.3">
      <c r="A146" s="10"/>
      <c r="B146" s="62" t="s">
        <v>14</v>
      </c>
      <c r="C146" s="62"/>
      <c r="D146" s="62"/>
      <c r="E146" s="62"/>
      <c r="F146" s="62"/>
      <c r="G146" s="62"/>
      <c r="H146" s="62"/>
      <c r="I146" s="62"/>
      <c r="J146" s="62"/>
      <c r="K146" s="36">
        <v>0</v>
      </c>
      <c r="L146" s="37">
        <v>-0.1</v>
      </c>
      <c r="M146" s="38">
        <f>L146*K146</f>
        <v>0</v>
      </c>
    </row>
    <row r="147" spans="1:13" x14ac:dyDescent="0.3">
      <c r="A147" s="10"/>
      <c r="B147" s="12" t="s">
        <v>4</v>
      </c>
      <c r="C147" s="43"/>
      <c r="D147" s="43"/>
      <c r="E147" s="43"/>
      <c r="F147" s="43"/>
      <c r="G147" s="43"/>
      <c r="H147" s="43"/>
      <c r="I147" s="43"/>
      <c r="J147" s="43"/>
      <c r="K147" s="7"/>
      <c r="L147" s="8"/>
      <c r="M147" s="13"/>
    </row>
    <row r="148" spans="1:13" ht="27" customHeight="1" thickBot="1" x14ac:dyDescent="0.35">
      <c r="A148" s="14"/>
      <c r="B148" s="68"/>
      <c r="C148" s="68"/>
      <c r="D148" s="68"/>
      <c r="E148" s="68"/>
      <c r="F148" s="68"/>
      <c r="G148" s="68"/>
      <c r="H148" s="68"/>
      <c r="I148" s="68"/>
      <c r="J148" s="68"/>
      <c r="K148" s="34"/>
      <c r="L148" s="11"/>
      <c r="M148" s="35"/>
    </row>
    <row r="149" spans="1:13" x14ac:dyDescent="0.3">
      <c r="A149" s="25"/>
      <c r="B149" s="46"/>
      <c r="C149" s="46"/>
      <c r="D149" s="46"/>
      <c r="E149" s="46"/>
      <c r="F149" s="46"/>
      <c r="G149" s="46"/>
      <c r="H149" s="46"/>
      <c r="I149" s="69" t="s">
        <v>6</v>
      </c>
      <c r="J149" s="69"/>
      <c r="K149" s="25"/>
      <c r="L149" s="40" t="s">
        <v>10</v>
      </c>
      <c r="M149" s="26">
        <f>IF(L149="OUI",-15%*SUM(M6:M113,0),0)</f>
        <v>0</v>
      </c>
    </row>
    <row r="150" spans="1:13" x14ac:dyDescent="0.3">
      <c r="A150" s="27"/>
      <c r="B150" s="44"/>
      <c r="C150" s="44"/>
      <c r="D150" s="44"/>
      <c r="E150" s="44"/>
      <c r="F150" s="44"/>
      <c r="G150" s="44"/>
      <c r="H150" s="44"/>
      <c r="I150" s="70" t="s">
        <v>7</v>
      </c>
      <c r="J150" s="70"/>
      <c r="K150" s="27" t="s">
        <v>8</v>
      </c>
      <c r="L150" s="39">
        <v>0</v>
      </c>
      <c r="M150" s="32">
        <f>MIN(40,L150)*-0.5%</f>
        <v>0</v>
      </c>
    </row>
    <row r="151" spans="1:13" ht="15" thickBot="1" x14ac:dyDescent="0.35">
      <c r="A151" s="28"/>
      <c r="B151" s="45"/>
      <c r="C151" s="45"/>
      <c r="D151" s="45"/>
      <c r="E151" s="45"/>
      <c r="F151" s="45"/>
      <c r="G151" s="45"/>
      <c r="H151" s="45"/>
      <c r="I151" s="71" t="s">
        <v>9</v>
      </c>
      <c r="J151" s="71"/>
      <c r="K151" s="29"/>
      <c r="L151" s="30"/>
      <c r="M151" s="31">
        <f>SUM(M6:M150)</f>
        <v>1</v>
      </c>
    </row>
  </sheetData>
  <mergeCells count="140">
    <mergeCell ref="B146:J146"/>
    <mergeCell ref="B148:J148"/>
    <mergeCell ref="I149:J149"/>
    <mergeCell ref="I150:J150"/>
    <mergeCell ref="I151:J151"/>
    <mergeCell ref="B137:J137"/>
    <mergeCell ref="B139:J139"/>
    <mergeCell ref="A142:I142"/>
    <mergeCell ref="B143:J143"/>
    <mergeCell ref="B144:J144"/>
    <mergeCell ref="B145:J145"/>
    <mergeCell ref="L131:L136"/>
    <mergeCell ref="M131:M136"/>
    <mergeCell ref="B132:J132"/>
    <mergeCell ref="B133:J133"/>
    <mergeCell ref="B134:J134"/>
    <mergeCell ref="B135:J135"/>
    <mergeCell ref="B136:J136"/>
    <mergeCell ref="B123:J123"/>
    <mergeCell ref="B124:J124"/>
    <mergeCell ref="B126:J126"/>
    <mergeCell ref="A129:I129"/>
    <mergeCell ref="B131:J131"/>
    <mergeCell ref="K131:K136"/>
    <mergeCell ref="B112:J112"/>
    <mergeCell ref="A116:I116"/>
    <mergeCell ref="B118:J118"/>
    <mergeCell ref="K118:K123"/>
    <mergeCell ref="L118:L123"/>
    <mergeCell ref="M118:M123"/>
    <mergeCell ref="B119:J119"/>
    <mergeCell ref="B120:J120"/>
    <mergeCell ref="B121:J121"/>
    <mergeCell ref="B122:J122"/>
    <mergeCell ref="M105:M109"/>
    <mergeCell ref="B106:J106"/>
    <mergeCell ref="B107:J107"/>
    <mergeCell ref="B108:J108"/>
    <mergeCell ref="B109:J109"/>
    <mergeCell ref="B110:J110"/>
    <mergeCell ref="B98:J98"/>
    <mergeCell ref="B100:J100"/>
    <mergeCell ref="A103:I103"/>
    <mergeCell ref="B105:J105"/>
    <mergeCell ref="K105:K109"/>
    <mergeCell ref="L105:L109"/>
    <mergeCell ref="M77:M83"/>
    <mergeCell ref="B78:J78"/>
    <mergeCell ref="B79:J79"/>
    <mergeCell ref="B80:J80"/>
    <mergeCell ref="B81:J81"/>
    <mergeCell ref="B82:J82"/>
    <mergeCell ref="B83:J83"/>
    <mergeCell ref="M91:M97"/>
    <mergeCell ref="B92:J92"/>
    <mergeCell ref="B93:J93"/>
    <mergeCell ref="B94:J94"/>
    <mergeCell ref="B95:J95"/>
    <mergeCell ref="B96:J96"/>
    <mergeCell ref="B97:J97"/>
    <mergeCell ref="B84:J84"/>
    <mergeCell ref="B86:J86"/>
    <mergeCell ref="A89:I89"/>
    <mergeCell ref="B91:J91"/>
    <mergeCell ref="K91:K97"/>
    <mergeCell ref="L91:L97"/>
    <mergeCell ref="B70:J70"/>
    <mergeCell ref="B72:J72"/>
    <mergeCell ref="A75:I75"/>
    <mergeCell ref="B60:J60"/>
    <mergeCell ref="K60:K69"/>
    <mergeCell ref="L60:L69"/>
    <mergeCell ref="B77:J77"/>
    <mergeCell ref="K77:K83"/>
    <mergeCell ref="L77:L83"/>
    <mergeCell ref="M60:M69"/>
    <mergeCell ref="B61:J61"/>
    <mergeCell ref="B62:J62"/>
    <mergeCell ref="B63:J63"/>
    <mergeCell ref="B64:J64"/>
    <mergeCell ref="B65:J65"/>
    <mergeCell ref="B66:J66"/>
    <mergeCell ref="B50:J50"/>
    <mergeCell ref="B51:J51"/>
    <mergeCell ref="B52:J52"/>
    <mergeCell ref="B53:J53"/>
    <mergeCell ref="B55:J55"/>
    <mergeCell ref="A58:I58"/>
    <mergeCell ref="B67:J67"/>
    <mergeCell ref="B68:J68"/>
    <mergeCell ref="B69:J69"/>
    <mergeCell ref="M40:M49"/>
    <mergeCell ref="B41:J41"/>
    <mergeCell ref="B42:J42"/>
    <mergeCell ref="B43:J43"/>
    <mergeCell ref="B44:J44"/>
    <mergeCell ref="B45:J45"/>
    <mergeCell ref="B46:J46"/>
    <mergeCell ref="B47:J47"/>
    <mergeCell ref="B48:J48"/>
    <mergeCell ref="B49:J49"/>
    <mergeCell ref="B33:J33"/>
    <mergeCell ref="B35:J35"/>
    <mergeCell ref="A38:I38"/>
    <mergeCell ref="B40:J40"/>
    <mergeCell ref="K40:K49"/>
    <mergeCell ref="L40:L49"/>
    <mergeCell ref="B23:J23"/>
    <mergeCell ref="A26:I26"/>
    <mergeCell ref="B28:J28"/>
    <mergeCell ref="K28:K32"/>
    <mergeCell ref="L28:L32"/>
    <mergeCell ref="M28:M32"/>
    <mergeCell ref="B29:J29"/>
    <mergeCell ref="B30:J30"/>
    <mergeCell ref="B31:J31"/>
    <mergeCell ref="B32:J32"/>
    <mergeCell ref="B17:J17"/>
    <mergeCell ref="B19:J19"/>
    <mergeCell ref="K19:K21"/>
    <mergeCell ref="L19:L21"/>
    <mergeCell ref="M19:M21"/>
    <mergeCell ref="B20:J20"/>
    <mergeCell ref="B21:J21"/>
    <mergeCell ref="B11:J11"/>
    <mergeCell ref="B12:J12"/>
    <mergeCell ref="B13:J13"/>
    <mergeCell ref="B14:J14"/>
    <mergeCell ref="B15:J15"/>
    <mergeCell ref="B16:J16"/>
    <mergeCell ref="A1:M1"/>
    <mergeCell ref="A2:M2"/>
    <mergeCell ref="A3:M3"/>
    <mergeCell ref="A4:M4"/>
    <mergeCell ref="A6:I6"/>
    <mergeCell ref="B8:J8"/>
    <mergeCell ref="K8:K16"/>
    <mergeCell ref="L8:L16"/>
    <mergeCell ref="M8:M16"/>
    <mergeCell ref="B9:J10"/>
  </mergeCells>
  <printOptions horizontalCentered="1" verticalCentered="1"/>
  <pageMargins left="0.70866141732283472" right="0.70866141732283472" top="0.74803149606299213" bottom="0.74803149606299213" header="0.31496062992125984" footer="0.31496062992125984"/>
  <pageSetup scale="35" orientation="landscape" r:id="rId1"/>
  <headerFooter>
    <oddFooter>&amp;A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3</vt:i4>
      </vt:variant>
    </vt:vector>
  </HeadingPairs>
  <TitlesOfParts>
    <vt:vector size="4" baseType="lpstr">
      <vt:lpstr>Modèle</vt:lpstr>
      <vt:lpstr>Modèle!Print_Area</vt:lpstr>
      <vt:lpstr>Modèle!total</vt:lpstr>
      <vt:lpstr>Modèle!Zone_d_impression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Pierre Poulin</dc:creator>
  <cp:lastModifiedBy>Thomas Couturier</cp:lastModifiedBy>
  <cp:lastPrinted>2022-02-18T14:22:22Z</cp:lastPrinted>
  <dcterms:created xsi:type="dcterms:W3CDTF">2018-05-29T15:56:09Z</dcterms:created>
  <dcterms:modified xsi:type="dcterms:W3CDTF">2022-05-09T04:05:59Z</dcterms:modified>
</cp:coreProperties>
</file>